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en (texto completo)" sheetId="1" state="visible" r:id="rId3"/>
    <sheet name="Flujo PRISMA" sheetId="2" state="visible" r:id="rId4"/>
    <sheet name="Estudios incluidos" sheetId="3" state="visible" r:id="rId5"/>
    <sheet name="Estudios excluidos" sheetId="4" state="visible" r:id="rId6"/>
  </sheets>
  <definedNames>
    <definedName function="false" hidden="true" localSheetId="3" name="_xlnm._FilterDatabase" vbProcedure="false">'Estudios excluidos'!$A$1:$J$47</definedName>
    <definedName function="false" hidden="true" localSheetId="2" name="_xlnm._FilterDatabase" vbProcedure="false">'Estudios incluidos'!$A$1:$Q$109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<sst xmlns="http://schemas.openxmlformats.org/spreadsheetml/2006/main" count="1472" uniqueCount="1083">
  <si>
    <t xml:space="preserve">Evaluación a texto completo — Revisión sistemática (TDDMachine)</t>
  </si>
  <si>
    <t xml:space="preserve">Criterio de inclusión: estudios primarios (artículos de revista, ponencias de congreso, capítulos de libro, libros) con calidad metodológica suficiente y pertinentes al objetivo. Criterios de exclusión aplicados abajo.</t>
  </si>
  <si>
    <t xml:space="preserve">A. Estudios evaluados a texto completo, por categoría</t>
  </si>
  <si>
    <t xml:space="preserve">Categoría</t>
  </si>
  <si>
    <t xml:space="preserve">Evaluados</t>
  </si>
  <si>
    <t xml:space="preserve">Incluidos</t>
  </si>
  <si>
    <t xml:space="preserve">Excluidos</t>
  </si>
  <si>
    <t xml:space="preserve">Requisitos funcionales</t>
  </si>
  <si>
    <t xml:space="preserve">Casos de uso</t>
  </si>
  <si>
    <t xml:space="preserve">Historias de usuario</t>
  </si>
  <si>
    <t xml:space="preserve">Total</t>
  </si>
  <si>
    <t xml:space="preserve">B. Estudios incluidos por tipo de publicación (criterio de inclusión)</t>
  </si>
  <si>
    <t xml:space="preserve">Tipo de estudio primario</t>
  </si>
  <si>
    <t xml:space="preserve">Artículo de revista</t>
  </si>
  <si>
    <t xml:space="preserve">Ponencia de congreso</t>
  </si>
  <si>
    <t xml:space="preserve">Capítulo de libro</t>
  </si>
  <si>
    <t xml:space="preserve">Libro</t>
  </si>
  <si>
    <t xml:space="preserve">Tesis doctoral</t>
  </si>
  <si>
    <t xml:space="preserve">Total incluidos</t>
  </si>
  <si>
    <t xml:space="preserve">C. Estudios excluidos por criterio (en lectura a texto completo)</t>
  </si>
  <si>
    <t xml:space="preserve">Motivo de exclusión</t>
  </si>
  <si>
    <t xml:space="preserve">Fuera de alcance temático</t>
  </si>
  <si>
    <t xml:space="preserve">Calidad insuficiente</t>
  </si>
  <si>
    <t xml:space="preserve">Estudio secundario</t>
  </si>
  <si>
    <t xml:space="preserve">Total excluidos</t>
  </si>
  <si>
    <t xml:space="preserve">Nota: exclusiones previas a la lectura a texto completo (reportadas en el flujo PRISMA, hoja 'Flujo PRISMA'): estudios secundarios 12, no-artículos/actas de congreso 8, sin acceso a texto completo 5, duplicados entre categorías 9. El tipo de estudio se determinó a partir de los metadatos de la fuente (revista, actas de congreso, capítulo de libro).</t>
  </si>
  <si>
    <t xml:space="preserve">Flujo PRISMA — identificación, cribado y elegibilidad (búsqueda en bases)</t>
  </si>
  <si>
    <t xml:space="preserve">Registros identificados (4 bases)</t>
  </si>
  <si>
    <t xml:space="preserve">6795</t>
  </si>
  <si>
    <t xml:space="preserve">Tras eliminación de duplicados</t>
  </si>
  <si>
    <t xml:space="preserve">5628</t>
  </si>
  <si>
    <t xml:space="preserve">Tras elegibilidad (≥2015, inglés)</t>
  </si>
  <si>
    <t xml:space="preserve">2870</t>
  </si>
  <si>
    <t xml:space="preserve">  – Excluidos en cribado por título/resumen (no pertinentes al objetivo, no-artículos, estudios secundarios, sin acceso, duplicados entre categorías)</t>
  </si>
  <si>
    <t xml:space="preserve">−2716</t>
  </si>
  <si>
    <t xml:space="preserve">Seleccionados a texto completo (incluye estudios complementarios de HU y 1 del volumen ICSR 2016)</t>
  </si>
  <si>
    <t xml:space="preserve">154</t>
  </si>
  <si>
    <t xml:space="preserve">  – Excluidos en lectura a texto completo (fuera de alcance 27, calidad insuficiente 16, secundario 3)</t>
  </si>
  <si>
    <t xml:space="preserve">−46</t>
  </si>
  <si>
    <t xml:space="preserve">Estudios incluidos</t>
  </si>
  <si>
    <t xml:space="preserve">108</t>
  </si>
  <si>
    <t xml:space="preserve">N°</t>
  </si>
  <si>
    <t xml:space="preserve">Tipo de estudio</t>
  </si>
  <si>
    <t xml:space="preserve">Año</t>
  </si>
  <si>
    <t xml:space="preserve">DOI</t>
  </si>
  <si>
    <t xml:space="preserve">Título</t>
  </si>
  <si>
    <t xml:space="preserve">Enlace</t>
  </si>
  <si>
    <t xml:space="preserve">QA1</t>
  </si>
  <si>
    <t xml:space="preserve">QA2</t>
  </si>
  <si>
    <t xml:space="preserve">QA3</t>
  </si>
  <si>
    <t xml:space="preserve">QA4</t>
  </si>
  <si>
    <t xml:space="preserve">Calidad (0-4)</t>
  </si>
  <si>
    <t xml:space="preserve">Estándares/metodologías</t>
  </si>
  <si>
    <t xml:space="preserve">Campos de especificación</t>
  </si>
  <si>
    <t xml:space="preserve">Herramienta CASE</t>
  </si>
  <si>
    <t xml:space="preserve">Relación con generación de pruebas</t>
  </si>
  <si>
    <t xml:space="preserve">Aporte principal</t>
  </si>
  <si>
    <t xml:space="preserve">10.65109/kgpx8966</t>
  </si>
  <si>
    <t xml:space="preserve">A Behaviour-Driven Approach for Testing Requirements via User and System Stories in Agent Systems</t>
  </si>
  <si>
    <t xml:space="preserve">https://doi.org/10.65109/kgpx8966</t>
  </si>
  <si>
    <t xml:space="preserve">Gherkin/BDD, User and System Stories (USS), acceptance criteria Given-When-Then</t>
  </si>
  <si>
    <t xml:space="preserve">acceptance criteria (Given/When/Then), goal-context, goal-success, goal-failure, goal-plan, belief-inference, perception</t>
  </si>
  <si>
    <t xml:space="preserve">Framework propio integrando Cucumber, JUnit, Mockito y PITest sobre SARL</t>
  </si>
  <si>
    <t xml:space="preserve">Las historias de usuario y sistema (USS) extendidas con anotaciones de tipo (goal, plan, belief, perception) se traducen mediante Cucumber en definiciones de pasos que generan tests ejecutables (JUnit/Mockito), evaluados posteriormente con mutation testing (PITest).</t>
  </si>
  <si>
    <t xml:space="preserve">Extiende las User and System Stories con estructura BDD (condiciones de éxito/fallo de metas, planes, inferencia de creencias y percepciones) e implementa un framework de pruebas que integra herramientas industriales estándar para agentes BDI.</t>
  </si>
  <si>
    <t xml:space="preserve">10.1145/3350768.3351300</t>
  </si>
  <si>
    <t xml:space="preserve">A Conceptual Metamodel to Bridging Requirement Patterns to Test Patterns</t>
  </si>
  <si>
    <t xml:space="preserve">https://doi.org/10.1145/3350768.3351300</t>
  </si>
  <si>
    <t xml:space="preserve">BDD, Gherkin, Page Object Model (POM), MOF (OMG)</t>
  </si>
  <si>
    <t xml:space="preserve">Feature (user story As/I can/So that), Scenario, Example, Steps (Given/When/Then), UIElement, business rules, atributos de patrón (Name, Author, Version, Goal, Source, Context, Keywords)</t>
  </si>
  <si>
    <t xml:space="preserve">SoPaMM (Software Pattern MetaModel); prueba de concepto con Maven, JUnit y Selenium WebDriver</t>
  </si>
  <si>
    <t xml:space="preserve">Los requirement patterns se modelan con conceptos BDD (Feature/Scenario/Example) que son reutilizados directamente por los test patterns (TestCase + Steps + UIElement), permitiendo generar y automatizar casos de prueba de aceptación a partir de la especificación del requisito.</t>
  </si>
  <si>
    <t xml:space="preserve">Propone SoPaMM, un metamodelo que vincula patrones de requisitos con patrones de prueba mediante conceptos de BDD, validado con un caso de autenticación web cuyas pruebas de aceptación se generan y ejecutan automáticamente.</t>
  </si>
  <si>
    <t xml:space="preserve">10.1145/3640310.3674093</t>
  </si>
  <si>
    <t xml:space="preserve">A DSL for Testing LLMs for Fairness and Bias</t>
  </si>
  <si>
    <t xml:space="preserve">https://doi.org/10.1145/3640310.3674093</t>
  </si>
  <si>
    <t xml:space="preserve">-</t>
  </si>
  <si>
    <t xml:space="preserve">EthicalConcern, SensitiveCommunity, tolerance, delta, ReflectionType, InputType, Language (requisito ético); PromptTemplate, Oracle, TestScenario (artefactos de prueba)</t>
  </si>
  <si>
    <t xml:space="preserve">LangBiTe</t>
  </si>
  <si>
    <t xml:space="preserve">Un modelo de requisitos éticos definido con un DSL se transforma automáticamente en instancias de prompts (casos de prueba) que se ejecutan contra distintos LLMs y se evalúan mediante oráculos, dando trazabilidad extremo a extremo entre requisito y evaluación.</t>
  </si>
  <si>
    <t xml:space="preserve">Propone LangBiTe, un enfoque dirigido por modelos con un DSL para especificar requisitos éticos (sesgo/discriminación) y generar, ejecutar y reportar automáticamente pruebas sobre LLMs, validado en un leaderboard con 16 modelos.</t>
  </si>
  <si>
    <t xml:space="preserve">10.5220/0014908300004030</t>
  </si>
  <si>
    <t xml:space="preserve">A Framework for Integrated Behaviour Driven Development and Model Based Feature Design and Verification</t>
  </si>
  <si>
    <t xml:space="preserve">https://doi.org/10.5220/0014908300004030</t>
  </si>
  <si>
    <t xml:space="preserve">Gherkin/BDD, MBSE/SysML, EARS (mencionado en trabajo relacionado), ISO 26262</t>
  </si>
  <si>
    <t xml:space="preserve">Escenarios Given-When-Then, feature files, requisitos identificados (RQ01-RQ05), state machines, señales enumeradas</t>
  </si>
  <si>
    <t xml:space="preserve">MagicDraw2024x (plugin MBT) + Behave (Python) + Simulink; caso Remote Keyless Entry (RKE)</t>
  </si>
  <si>
    <t xml:space="preserve">Los requisitos de experiencia de usuario se formalizan como escenarios Gherkin ejecutables que se corren automáticamente (Behave) contra modelos de comportamiento SysML (máquinas de estado) para verificar su cumplimiento upfront en el ciclo en V.</t>
  </si>
  <si>
    <t xml:space="preserve">Propone un framework integrado BDD+MBSE que combina especificaciones Gherkin ejecutables y programación conductual para verificar tempranamente requisitos de features automotrices, demostrado con un caso de estudio de cierre remoto (RKE).</t>
  </si>
  <si>
    <t xml:space="preserve">10.1145/3297280.3297450</t>
  </si>
  <si>
    <t xml:space="preserve">A Model-Driven Approach for Behavior-Driven GUI Testing</t>
  </si>
  <si>
    <t xml:space="preserve">https://doi.org/10.1145/3297280.3297450</t>
  </si>
  <si>
    <t xml:space="preserve">Gherkin/BDD, lenguaje ubicuo, Page Object pattern</t>
  </si>
  <si>
    <t xml:space="preserve">Feature, user story (As/I want/In order to), Scenario Given-When-Then, pantallas y widgets de wireframe, mapping de elementos</t>
  </si>
  <si>
    <t xml:space="preserve">Slang (integrado con Wireframesketcher)</t>
  </si>
  <si>
    <t xml:space="preserve">Las descripciones de features y escenarios estilo BDD se combinan con modelos de wireframe mediante un archivo de mapping para generar completamente scripts de prueba GUI ejecutables y page objects, eliminando la implementación manual de métodos de prueba.</t>
  </si>
  <si>
    <t xml:space="preserve">Presenta Slang, un DSL que integra especificaciones BDD con modelos de wireframe de baja fidelidad para generar automáticamente casos de prueba de GUI, validado mediante un experimento controlado (63% menos tiempo que JBehave) y aplicación industrial en un banco.</t>
  </si>
  <si>
    <t xml:space="preserve">10.1109/re57278.2023.00013</t>
  </si>
  <si>
    <t xml:space="preserve">A Requirements-Driven Platform for Validating Field Operations of Small Uncrewed Aerial Vehicles</t>
  </si>
  <si>
    <t xml:space="preserve">https://doi.org/10.1109/re57278.2023.00013</t>
  </si>
  <si>
    <t xml:space="preserve">requisitos de sistema (RQ-0xx), propiedades de seguridad/test properties, monitores (C1.1, C1.2), configuración ambiental y de sUAS</t>
  </si>
  <si>
    <t xml:space="preserve">DroneReqValidator (DRV)</t>
  </si>
  <si>
    <t xml:space="preserve">Los requisitos de seguridad a nivel de sistema se traducen directamente en propiedades de prueba (test properties) y monitores configurables dentro de escenarios de prueba, que la plataforma ejecuta y evalúa automáticamente (incluyendo fuzzing) generando reportes PASSED/FAILED trazables al requisito.</t>
  </si>
  <si>
    <t xml:space="preserve">Presenta DroneReqValidator (DRV), una plataforma dirigida por requisitos para simular y validar misiones de sUAS bajo condiciones ambientales realistas, evaluada en dos casos reales y un estudio de percepción con desarrolladores.</t>
  </si>
  <si>
    <t xml:space="preserve">10.1109/ret.2019.00009</t>
  </si>
  <si>
    <t xml:space="preserve">A Software Tool to Convert Requirements to Test Cases</t>
  </si>
  <si>
    <t xml:space="preserve">https://doi.org/10.1109/ret.2019.00009</t>
  </si>
  <si>
    <t xml:space="preserve">Gherkin (Scenario Outline generado), User Stories</t>
  </si>
  <si>
    <t xml:space="preserve">Action Triad (Agent-Action-Concept), Dimension, Instance, escenario positivo/negativo, resultado esperado, ID de requisito</t>
  </si>
  <si>
    <t xml:space="preserve">TestAlgo</t>
  </si>
  <si>
    <t xml:space="preserve">Los requisitos de negocio se capturan como tríadas estructuradas (agente-acción-concepto con dimensiones e instancias) que un motor de optimización pairwise convierte automáticamente en historias de usuario, modelos de proceso y casos de prueba manuales con matriz de trazabilidad.</t>
  </si>
  <si>
    <t xml:space="preserve">Presenta TestAlgo, una herramienta que implementa el método Action Triad para convertir requisitos de negocio estructurados en modelos (BPMN, casos de uso, historias de usuario) y artefactos de prueba (casos de prueba, RTM) generados automáticamente.</t>
  </si>
  <si>
    <t xml:space="preserve">10.1145/3011141.3011158</t>
  </si>
  <si>
    <t xml:space="preserve">A Web Framework For Test Automation: User Scenarios Through User Interaction Diagrams</t>
  </si>
  <si>
    <t xml:space="preserve">https://doi.org/10.1145/3011141.3011158</t>
  </si>
  <si>
    <t xml:space="preserve">Acceptance Test-Driven Development (ATDD); US-UID/UID notation (no estándar formal ISO/IEEE)</t>
  </si>
  <si>
    <t xml:space="preserve">estados de interacción, entradas de usuario, salidas de sistema, transiciones, precondiciones (estado adicional de configuración), fixtures</t>
  </si>
  <si>
    <t xml:space="preserve">Framework web basado en FitNesse (editor de escenarios + User Scenario Runner + SLIM Executor)</t>
  </si>
  <si>
    <t xml:space="preserve">Los escenarios US-UID (representación de requisitos por el cliente) se convierten automáticamente en instrucciones SLIM/FitNesse ejecutables como pruebas de aceptación (ATDD).</t>
  </si>
  <si>
    <t xml:space="preserve">Un framework web que ejecuta directamente diagramas US-UID como pruebas de aceptación automatizadas, evaluado con dos experimentos de mutación/eliminación de código sobre una aplicación web real.</t>
  </si>
  <si>
    <t xml:space="preserve">10.1109/icit.2018.00026</t>
  </si>
  <si>
    <t xml:space="preserve">Achieving MC/DC using UML Communication Diagram</t>
  </si>
  <si>
    <t xml:space="preserve">https://doi.org/10.1109/icit.2018.00026</t>
  </si>
  <si>
    <t xml:space="preserve">DO-178B/DO-178C (criterio MC/DC); UML Communication Diagram (no estándar de requisitos textuales)</t>
  </si>
  <si>
    <t xml:space="preserve">objetos, actores, asociaciones, mensajes, condiciones de guarda</t>
  </si>
  <si>
    <t xml:space="preserve">MEUCD (MC/DC Estimator for UML Communication Diagram): Modelio + JiBX + jCUTE + COPECA</t>
  </si>
  <si>
    <t xml:space="preserve">El diagrama de comunicación UML (modelo de diseño derivado del caso de uso) se transforma en XSD y código Java, sobre el cual se generan automáticamente casos de prueba MC/DC mediante pruebas concólicas (jCUTE).</t>
  </si>
  <si>
    <t xml:space="preserve">Una cadena de herramientas (MEUCD) que genera y mide automáticamente cobertura MC/DC a partir de diagramas de comunicación UML, validada en 15 casos de uso de 3 sistemas.</t>
  </si>
  <si>
    <t xml:space="preserve">10.1145/3613372.3613375</t>
  </si>
  <si>
    <t xml:space="preserve">Adoption of the LGPD Inventory in the User Stories and BDD Scenarios Creation</t>
  </si>
  <si>
    <t xml:space="preserve">https://doi.org/10.1145/3613372.3613375</t>
  </si>
  <si>
    <t xml:space="preserve">LGPD (Brasil), GDPR (referencia), sintaxis de User Story (As/I can/So that), Gherkin/BDD (Given/When/Then)</t>
  </si>
  <si>
    <t xml:space="preserve">actores (titular de datos, agente de tratamiento, encargado), funcionalidad/proceso de tratamiento, precondiciones (hipótesis legal), finalidad de la funcionalidad</t>
  </si>
  <si>
    <t xml:space="preserve">Propone un mapeo entre los elementos del Inventario de Datos Personales (IDP/LGPD) y las cláusulas de User Stories y escenarios BDD, que alimentan indirectamente la generación de pruebas de aceptación basadas en BDD.</t>
  </si>
  <si>
    <t xml:space="preserve">Un mapeo documental entre elementos obligatorios del Inventario de Datos Personales (LGPD) y las cláusulas de User Stories/Escenarios BDD para apoyar la especificación ágil de requisitos de privacidad.</t>
  </si>
  <si>
    <t xml:space="preserve">Articulo de revista</t>
  </si>
  <si>
    <t xml:space="preserve">10.1109/ojcoms.2026.3686199</t>
  </si>
  <si>
    <t xml:space="preserve">Agentic-AI Framework for Integrated Design, Implementation, Testing, and Operation of Digital Twin Networks</t>
  </si>
  <si>
    <t xml:space="preserve">https://doi.org/10.1109/ojcoms.2026.3686199</t>
  </si>
  <si>
    <t xml:space="preserve">descripción de caso de uso (use-case formalizado), KPIs cuantificados (requisitos medibles), contexto de descubrimiento de red, diseño/plan de aplicaciones, suite de pruebas</t>
  </si>
  <si>
    <t xml:space="preserve">Framework agéntico multi-LLM (Orquestador LangGraph/FastAPI con agentes de Percepción, Reflexión, Planificador, Generador de Código, Sandbox de validación y Control)</t>
  </si>
  <si>
    <t xml:space="preserve">Los requisitos se capturan como descripciones de caso de uso formalizadas y KPIs cuantificados, que impulsan un ciclo iterativo de TDD automatizado por LLM (generación de código y suite de pruebas, validación en sandbox antes de actuar sobre la red física).</t>
  </si>
  <si>
    <t xml:space="preserve">Un framework agéntico de extremo a extremo que automatiza la especificación de requisitos (KPIs), diseño, generación de código y pruebas (ciclo TDD asistido por LLM), y operación de Redes Gemelas Digitales, evaluado con múltiples LLMs en dos casos de uso 6G.</t>
  </si>
  <si>
    <t xml:space="preserve">10.1007/s00766-022-00377-5</t>
  </si>
  <si>
    <t xml:space="preserve">Aligning requirements and testing through metamodeling and patterns: design and evaluation</t>
  </si>
  <si>
    <t xml:space="preserve">https://doi.org/10.1007/s00766-022-00377-5</t>
  </si>
  <si>
    <t xml:space="preserve">Sintaxis de User Story, Gherkin/BDD, ISO/IEC 25010, ISO/IEC 9126, MOF</t>
  </si>
  <si>
    <t xml:space="preserve">Feature (As/I_can/So_that), Scenario (Given/When/Then), Example (datos de prueba), caso de prueba (precondiciones, resultados esperados, poscondiciones)</t>
  </si>
  <si>
    <t xml:space="preserve">Metamodelo SoPaMM (Software Pattern MetaModel) + herramienta TMEd (Terminal Model Editor)</t>
  </si>
  <si>
    <t xml:space="preserve">Los Patrones de Requisito Funcional (user story + escenarios Gherkin) se vinculan formalmente mediante el metamodelo SoPaMM con Patrones de Prueba de Aceptación, permitiendo derivar casos de prueba trazables a partir de los requisitos.</t>
  </si>
  <si>
    <t xml:space="preserve">Un metamodelo (SoPaMM) que alinea patrones de requisitos funcionales y patrones de prueba de aceptación mediante notación BDD, evaluado en calidad con el framework MQuaRE por 6 evaluadores expertos.</t>
  </si>
  <si>
    <t xml:space="preserve">10.1109/rose59155.2023.00008</t>
  </si>
  <si>
    <t xml:space="preserve">An Analysis of Behaviour-Driven Requirement Specification for Robotic Competitions</t>
  </si>
  <si>
    <t xml:space="preserve">https://doi.org/10.1109/rose59155.2023.00008</t>
  </si>
  <si>
    <t xml:space="preserve">Gherkin/BDD; Feature Model (FODA)</t>
  </si>
  <si>
    <t xml:space="preserve">escenario (Given/When/Then), Background, Examples, restricciones de configuración (setup constraints), criterios de evaluación</t>
  </si>
  <si>
    <t xml:space="preserve">Propone representar los requisitos de competiciones robóticas (escenarios, criterios de evaluación) como escenarios Gherkin/BDD, como paso previo hacia la ejecución automatizada de pruebas de aceptación, aunque la automatización completa queda como trabajo futuro.</t>
  </si>
  <si>
    <t xml:space="preserve">Un Feature Model con los elementos comunes de especificación de requisitos en reglamentos de competiciones robóticas y un análisis de cómo (y con qué limitaciones) BDD/Gherkin puede expresar criterios de aceptación robóticos.</t>
  </si>
  <si>
    <t xml:space="preserve">10.14569/ijacsa.2023.01408109</t>
  </si>
  <si>
    <t xml:space="preserve">An Approach of Test Case Generation with Software Requirement Ontology</t>
  </si>
  <si>
    <t xml:space="preserve">https://doi.org/10.14569/ijacsa.2023.01408109</t>
  </si>
  <si>
    <t xml:space="preserve">Lenguaje Natural Controlado (CNL) vía ROO/Rabbit, OWL, casos de uso UML</t>
  </si>
  <si>
    <t xml:space="preserve">caso de uso (flujo principal, alternativo, de excepción), requisitos funcionales, variables/diccionario de datos, árbol de decisión/clasificación</t>
  </si>
  <si>
    <t xml:space="preserve">ReqOntoTestGen (prototipo)</t>
  </si>
  <si>
    <t xml:space="preserve">Los requisitos funcionales en lenguaje natural se transforman mediante CNL en una ontología OWL, luego en un diccionario de datos XML, a partir del cual la técnica CCTM (partición de clases de equivalencia + árbol de clasificación) genera automáticamente casos y datos de prueba.</t>
  </si>
  <si>
    <t xml:space="preserve">Un framework y prototipo semiautomático (ReqOntoTestGen) que genera casos de prueba a partir de especificaciones de requisitos funcionales basadas en ontologías, evaluado con precisión/recall/F-measure en dos estudios de caso reales.</t>
  </si>
  <si>
    <t xml:space="preserve">10.14569/ijacsa.2023.01401105</t>
  </si>
  <si>
    <t xml:space="preserve">An Automated Impact Analysis Approach for Test Cases based on Changes of Use Case based Requirement Specifications</t>
  </si>
  <si>
    <t xml:space="preserve">https://doi.org/10.14569/ijacsa.2023.01401105</t>
  </si>
  <si>
    <t xml:space="preserve">Especificación de casos de uso (plantilla con flujo principal/alternativo/excepción), CCTM (Combination of Equivalence and Classification Tree Method), ECP, BVA</t>
  </si>
  <si>
    <t xml:space="preserve">ID de caso de uso, nombre/tipo/rango de variable, diccionario de datos (XML), flujo principal, flujo alternativo, flujo de excepción</t>
  </si>
  <si>
    <t xml:space="preserve">Prototipo web propio (Java/Node.js/MySQL) para análisis de impacto de cambios (no nombrado)</t>
  </si>
  <si>
    <t xml:space="preserve">El diccionario de datos derivado de la especificación de casos de uso (XML) se usa para detectar cambios y regenerar/reutilizar automáticamente casos de prueba de caja negra mediante CCTM.</t>
  </si>
  <si>
    <t xml:space="preserve">Framework y algoritmo de Change Impact Analysis que clasifica cambios en especificaciones de casos de uso y automatiza la reutilización/regeneración de casos de prueba, validado con dos estudios de caso reales de un sistema hospitalario.</t>
  </si>
  <si>
    <t xml:space="preserve">10.5815/ijwmt.2026.03.08</t>
  </si>
  <si>
    <t xml:space="preserve">An Example of Developing a High-level Requirements Specification for AI-based Software using ChatGPT</t>
  </si>
  <si>
    <t xml:space="preserve">https://doi.org/10.5815/ijwmt.2026.03.08</t>
  </si>
  <si>
    <t xml:space="preserve">ISO/IEC 29148 (validación de conformidad), SWEBOK/ISO 9126 (requisitos no funcionales), UML (casos de uso, despliegue)</t>
  </si>
  <si>
    <t xml:space="preserve">Requisitos de negocio, requisitos funcionales, requisitos no funcionales, user stories con criterios de aceptación, actores, prerrequisitos, flujo principal/alternativo/de excepción, postcondiciones</t>
  </si>
  <si>
    <t xml:space="preserve">ChatGPT (usado como herramienta de generación y verificación, sin nombre de herramienta propia)</t>
  </si>
  <si>
    <t xml:space="preserve">Las user stories con criterios de aceptación se usan para simular y verificar mediante prompts a ChatGPT el comportamiento esperado del sistema, sin llegar a generar código de pruebas ejecutable.</t>
  </si>
  <si>
    <t xml:space="preserve">Marco matemático formal para la generación asistida por LLM de especificaciones de requisitos de alto nivel, con un procedimiento de verificación formal basado en simulación de comportamiento vía ChatGPT, ilustrado con un caso real.</t>
  </si>
  <si>
    <t xml:space="preserve">10.19153/cleiej.22.1.2</t>
  </si>
  <si>
    <t xml:space="preserve">An Ontology for Specifying and Tracing Requirements Engineering Artifacts and Test Artifacts</t>
  </si>
  <si>
    <t xml:space="preserve">https://doi.org/10.19153/cleiej.22.1.2</t>
  </si>
  <si>
    <t xml:space="preserve">OWL 2, plantilla de casos de uso (estilo Cockburn/Pohl), categorías de trazabilidad de Pohl (Condition, Content, Abstraction, Evolution, Miscellaneous)</t>
  </si>
  <si>
    <t xml:space="preserve">Actor, meta (goal), precondiciones, postcondiciones, escenario principal/alternativo/de excepción, pasos de escenario, precondiciones/entradas/salidas esperadas de prueba, escenario de caso de prueba, criterio de cobertura</t>
  </si>
  <si>
    <t xml:space="preserve">SIAR (Sistema Integral para la Gestión de Requisitos), Protégé, razonador Pellet</t>
  </si>
  <si>
    <t xml:space="preserve">Los casos de uso se formalizan como autómatas finitos deterministas (DFA) que actúan como modelos de prueba intermedios para derivar sistemáticamente escenarios y casos de prueba, manteniendo trazabilidad inferible entre requisitos y pruebas.</t>
  </si>
  <si>
    <t xml:space="preserve">Ontología OWL 2 que integra y relaciona conceptos de ingeniería de requisitos (casos de uso, DFA) y de pruebas, permitiendo inferir mediante un razonador enlaces de trazabilidad no explícitos entre requisitos y casos de prueba.</t>
  </si>
  <si>
    <t xml:space="preserve">10.1007/s00766-022-00379-3</t>
  </si>
  <si>
    <t xml:space="preserve">An approach for performance requirements verification and test environments generation</t>
  </si>
  <si>
    <t xml:space="preserve">https://doi.org/10.1007/s00766-022-00379-3</t>
  </si>
  <si>
    <t xml:space="preserve">objeto (función/sistema bajo prueba), parámetros independientes (capacidad, restricciones de recursos), parámetros dependientes (tiempo de respuesta, throughput, eficiencia)</t>
  </si>
  <si>
    <t xml:space="preserve">PRO-TEST (Performance Requirements verificatiOn and Test EnvironmentS generaTion)</t>
  </si>
  <si>
    <t xml:space="preserve">Modela los requisitos de rendimiento con una taxonomía de parámetros independientes/dependientes para verificar su completitud y cuantificabilidad, y genera automáticamente parámetros de entornos de prueba (restricciones y métricas) para la ejecución de pruebas de rendimiento.</t>
  </si>
  <si>
    <t xml:space="preserve">PRO-TEST, un enfoque que modela requisitos de rendimiento para validarlos y generar automáticamente entornos de prueba, evaluado sobre 149 requisitos reales extraídos de 34 SRS.</t>
  </si>
  <si>
    <t xml:space="preserve">10.1002/stvr.1690</t>
  </si>
  <si>
    <t xml:space="preserve">An automated functional testing approach for virtual reality applications</t>
  </si>
  <si>
    <t xml:space="preserve">https://doi.org/10.1002/stvr.1690</t>
  </si>
  <si>
    <t xml:space="preserve">Lenguaje Natural Controlado (CNL); gramática BeLaRS basada en teoría de Chomsky y case grammar; criterios de cobertura estructural (NC, EC, EPC, PPC)</t>
  </si>
  <si>
    <t xml:space="preserve">descripción de aplicación, elicitación de objetos/escena (scene graph), especificación de interacción (flujo principal/alternativo), validación de requisitos</t>
  </si>
  <si>
    <t xml:space="preserve">ViReST (herramienta) + enfoque VR-ReST con lenguaje BeLaRS</t>
  </si>
  <si>
    <t xml:space="preserve">Los requisitos de aplicaciones de realidad virtual se especifican en el CNL BeLaRS y se convierten en un grafo de flujo de requisitos (RFG), a partir del cual se derivan automáticamente requisitos de prueba y datos de prueba usando criterios de cobertura estructural.</t>
  </si>
  <si>
    <t xml:space="preserve">Un enfoque (VR-ReST) y herramienta (ViReST) que especifica requisitos de aplicaciones VR mediante un lenguaje controlado y genera pruebas funcionales automáticamente, superando a pruebas aleatorias en score de mutación (~20% mayor) en tres programas reales.</t>
  </si>
  <si>
    <t xml:space="preserve">10.1145/3131151.3131166</t>
  </si>
  <si>
    <t xml:space="preserve">Analysing Requirements Communication Using Use Case Specification and User stories</t>
  </si>
  <si>
    <t xml:space="preserve">https://doi.org/10.1145/3131151.3131166</t>
  </si>
  <si>
    <t xml:space="preserve">Plantilla de caso de uso (Cockburn), BDD/Gherkin (Given/When/Then), formato de user story (Como/Eu quero/Para que)</t>
  </si>
  <si>
    <t xml:space="preserve">Actor, precondiciones, flujo principal, flujos alternativos, flujos de excepción, postcondiciones, reglas de negocio (caso de uso); escenario Dado/Cuando/Entonces (user story)</t>
  </si>
  <si>
    <t xml:space="preserve">No genera pruebas de software; compara casos de uso y user stories (con estructura BDD) como base para construir mockups de interfaz, sin vincular la especificación a generación de pruebas.</t>
  </si>
  <si>
    <t xml:space="preserve">Estudio experimental exploratorio con 16 estudiantes que muestra que no hay diferencia significativa entre usar especificación de casos de uso o user stories para comunicar requisitos, resaltando la influencia del factor humano en la propagación de defectos.</t>
  </si>
  <si>
    <t xml:space="preserve">10.1007/978-3-319-91602-6_7</t>
  </si>
  <si>
    <t xml:space="preserve">Automated Acceptance Tests as Software Requirements: An Experiment to Compare the Applicability of Fit Tables and Gherkin Language</t>
  </si>
  <si>
    <t xml:space="preserve">https://doi.org/10.1007/978-3-319-91602-6_7</t>
  </si>
  <si>
    <t xml:space="preserve">Gherkin (Given/When/Then), Fit tables, TDD/ATDD/BDD</t>
  </si>
  <si>
    <t xml:space="preserve">Escenarios de prueba de aceptación (entradas, precondiciones, salidas esperadas), fixtures/glue code</t>
  </si>
  <si>
    <t xml:space="preserve">FitNesse (Fit tables), Cucumber (Gherkin)</t>
  </si>
  <si>
    <t xml:space="preserve">Compara dos notaciones (Fit tables y Gherkin) usadas como especificación ejecutable de requisitos de aceptación, conectadas mediante código de conexión (fixtures/glue code) a la generación y ejecución automatizada de pruebas de aceptación.</t>
  </si>
  <si>
    <t xml:space="preserve">Experimento controlado con estudiantes que compara Fit tables frente a Gherkin como técnicas de especificación de requisitos mediante pruebas de aceptación automatizadas, mostrando menor esfuerzo (tiempo) con Gherkin sin diferencias significativas en corrección o comunicación.</t>
  </si>
  <si>
    <t xml:space="preserve">10.1007/978-3-032-29501-9_12</t>
  </si>
  <si>
    <t xml:space="preserve">Automated Detection and Mitigation of Requirement Bad Smells in Software Requirement Specifications</t>
  </si>
  <si>
    <t xml:space="preserve">https://doi.org/10.1007/978-3-032-29501-9_12</t>
  </si>
  <si>
    <t xml:space="preserve">Categorías de bad smells (voz pasiva, modales condicionales, información faltante, pronombres ambiguos, términos comparativos/superlativos, requisitos no atómicos, abreviaturas, términos subjetivos)</t>
  </si>
  <si>
    <t xml:space="preserve">Gemini API (Gemini 2.5 Flash) para mitigación; comparado con Smella de trabajos relacionados</t>
  </si>
  <si>
    <t xml:space="preserve">Señala que los bad smells limitan tareas de automatización posteriores como generación de pruebas, pero el trabajo no implementa ni deriva casos de prueba, solo mejora la calidad textual de los requisitos.</t>
  </si>
  <si>
    <t xml:space="preserve">Framework automatizado que detecta diez tipos de bad smells en requisitos mediante patrones lingüísticos basados en reglas y usa un modelo generativo (Gemini) para sugerir correcciones, evaluado sobre el dataset público PURE.</t>
  </si>
  <si>
    <t xml:space="preserve">10.1109/seams.2015.15</t>
  </si>
  <si>
    <t xml:space="preserve">Automated Generation of Adaptive Test Plans for Self-Adaptive Systems</t>
  </si>
  <si>
    <t xml:space="preserve">https://doi.org/10.1109/seams.2015.15</t>
  </si>
  <si>
    <t xml:space="preserve">KAOS (Goal-Oriented Requirements Engineering), definiciones IEEE de caso/plan de prueba</t>
  </si>
  <si>
    <t xml:space="preserve">Metas funcionales, no funcionales, de seguridad y de failsafe; funciones de utilidad; caso de prueba (valor esperado, condiciones de ejecución); suite de prueba; plan de prueba</t>
  </si>
  <si>
    <t xml:space="preserve">Proteus (framework de pruebas adaptativas en tiempo de ejecución), Veritas (adaptación de parámetros de casos de prueba)</t>
  </si>
  <si>
    <t xml:space="preserve">Deriva y adapta en tiempo de ejecución planes y casos de prueba a partir de un modelo de metas KAOS que captura los requisitos funcionales, no funcionales y de seguridad del sistema autoadaptativo.</t>
  </si>
  <si>
    <t xml:space="preserve">Framework Proteus que genera y adapta automáticamente planes de prueba en tiempo de ejecución para sistemas autoadaptativos a partir de un modelo de metas de requisitos, reduciendo casos de prueba irrelevantes, falsos positivos y falsos negativos frente a un plan manual.</t>
  </si>
  <si>
    <t xml:space="preserve">10.1109/rew.2019.00053</t>
  </si>
  <si>
    <t xml:space="preserve">Automated Generation of Test Models from Semi-Structured Requirements</t>
  </si>
  <si>
    <t xml:space="preserve">https://doi.org/10.1109/rew.2019.00053</t>
  </si>
  <si>
    <t xml:space="preserve">EARS (mencionado como referencia), plantilla de user story (mencionada); el propio enfoque usa 'requisitos semi-estructurados' (pseudo-código ad-hoc), no un estándar formal propio</t>
  </si>
  <si>
    <t xml:space="preserve">business rules/reglas anidadas IF-THEN-ELSE, causas y efectos (Cause-Effect-Graph nodes), condiciones</t>
  </si>
  <si>
    <t xml:space="preserve">Algoritmo propio de detección ML + traducción a CEG, integrado en la herramienta Specmate</t>
  </si>
  <si>
    <t xml:space="preserve">Detecta mediante Machine Learning requisitos semi-estructurados (pseudo-código) dentro de documentos NL y los traduce automáticamente en Cause-Effect-Graphs, a partir de los cuales se derivan casos de prueba.</t>
  </si>
  <si>
    <t xml:space="preserve">Propone un enfoque de dos pasos (detección ML + traducción basada en reglas) para generar automáticamente modelos de prueba (CEG) desde requisitos semi-estructurados, validado en un estudio de caso industrial con 86% de ahorro de tiempo.</t>
  </si>
  <si>
    <t xml:space="preserve">10.1145/2811411.2811555</t>
  </si>
  <si>
    <t xml:space="preserve">Automated Test Case Generation from Domain-Specific High-Level Requirement Models</t>
  </si>
  <si>
    <t xml:space="preserve">https://doi.org/10.1145/2811411.2811555</t>
  </si>
  <si>
    <t xml:space="preserve">MC/DC, Boundary Value Analysis (BVA), Equivalence Partitioning (EP), EARS (mencionado como referencia), DSL propio (HRML)</t>
  </si>
  <si>
    <t xml:space="preserve">Rangos de valores predefinidos, expresiones lógicas, condiciones combinadas con lógica, elementos del metamodelo HRML</t>
  </si>
  <si>
    <t xml:space="preserve">HRML (High-level Requirement Modelling Language) con transformaciones M2M/M2T</t>
  </si>
  <si>
    <t xml:space="preserve">Los requisitos de alto nivel se modelan en el DSL HRML y, según el tipo de requisito (rango, lógica, combinado), se aplican transformaciones automáticas que generan casos de prueba por BVA/EP o cobertura MC/DC.</t>
  </si>
  <si>
    <t xml:space="preserve">Framework y lenguaje específico de dominio (HRML) que conecta la especificación de requisitos de alto nivel con la generación automática de casos de prueba, evaluado con expertos de industria (GE Aviation), estudio de escalabilidad, comparativo y de usabilidad con no expertos.</t>
  </si>
  <si>
    <t xml:space="preserve">10.1109/icrito66076.2025.11241453</t>
  </si>
  <si>
    <t xml:space="preserve">Automated Test Case Generation from Unstructured Software Requirements Using Advanced NLP Techniques</t>
  </si>
  <si>
    <t xml:space="preserve">https://doi.org/10.1109/icrito66076.2025.11241453</t>
  </si>
  <si>
    <t xml:space="preserve">Actores, acciones, objetos y restricciones extraídos por NER/POS/parsing de dependencias; sin plantilla estructurada formal</t>
  </si>
  <si>
    <t xml:space="preserve">Pipeline propio NLP+ML (BERT/GPT + NER/dependency parsing, sin nombre comercial)</t>
  </si>
  <si>
    <t xml:space="preserve">Aplica un pipeline de NLP (tokenización, POS tagging, extracción de palabras clave, parsing de dependencias y parsing semántico con BERT/GPT) sobre SRS en lenguaje libre para extraer actores, acciones y restricciones y generar casos de prueba en una plantilla predefinida.</t>
  </si>
  <si>
    <t xml:space="preserve">Propone y evalúa en tres dominios una metodología híbrida NLP+ML para generar automáticamente casos de prueba desde requisitos no estructurados, reportando precisión/recall/F1 y ahorro de esfuerzo frente a la generación manual.</t>
  </si>
  <si>
    <t xml:space="preserve">10.3390/app112411775</t>
  </si>
  <si>
    <t xml:space="preserve">Automatic Generation Mechanism of Cause-Effect Graph with Informal Requirement Specification Based on the Korean Language</t>
  </si>
  <si>
    <t xml:space="preserve">https://doi.org/10.3390/app112411775</t>
  </si>
  <si>
    <t xml:space="preserve">Cause-Effect Graphing (Mogyorodi); modelo propio C3Tree (Condition/Conjunction/Clause Tree)</t>
  </si>
  <si>
    <t xml:space="preserve">cláusulas de condición, resultado, conjunción y siguiente; relaciones cause/effect (AND/OR/NOT); tabla de decisión</t>
  </si>
  <si>
    <t xml:space="preserve">Korean Requirements Analyzer para Cause-Effect Graph (mecanismo C3Tree)</t>
  </si>
  <si>
    <t xml:space="preserve">El requisito informal en coreano se simplifica, se modela como C3Tree, se transforma en un Cause-Effect Graph y este en una tabla de decisión de la que finalmente se derivan casos de prueba.</t>
  </si>
  <si>
    <t xml:space="preserve">Mecanismo automático que simplifica requisitos informales en coreano y genera un grafo causa-efecto como paso intermedio hacia la generación automática de casos de prueba, ilustrado con un caso de estudio real de un sistema de misiles.</t>
  </si>
  <si>
    <t xml:space="preserve">10.1007/978-3-319-29473-5_9</t>
  </si>
  <si>
    <t xml:space="preserve">Automatic Generation of Test Cases and Test Purposes from Natural Language</t>
  </si>
  <si>
    <t xml:space="preserve">https://doi.org/10.1007/978-3-319-29473-5_9</t>
  </si>
  <si>
    <t xml:space="preserve">Controlled Natural Language (CNL) de casos de uso; notacion formal CSP</t>
  </si>
  <si>
    <t xml:space="preserve">Step Id, Action, System State, System Response; test purposes (next, guard, STOP, SUCCESS, AND/OR)</t>
  </si>
  <si>
    <t xml:space="preserve">TaRGeT</t>
  </si>
  <si>
    <t xml:space="preserve">Los casos de uso escritos en un CNL basado en estados se traducen a modelos CSP a partir de los cuales se generan automaticamente casos de prueba y datos de prueba mediante verificacion de refinamiento (FDR), guiados opcionalmente por test purposes.</t>
  </si>
  <si>
    <t xml:space="preserve">Propone un CNL basado en estados para casos de uso y test purposes, traducidos a CSP, mecanizado en una extension de la herramienta TaRGeT que oculta la notacion formal al diseñador de pruebas.</t>
  </si>
  <si>
    <t xml:space="preserve">10.1109/access.2025.3620431</t>
  </si>
  <si>
    <t xml:space="preserve">Automatic Test Case Generation Mechanism With Natural Language-Based Korean Requirement Specifications</t>
  </si>
  <si>
    <t xml:space="preserve">https://doi.org/10.1109/access.2025.3620431</t>
  </si>
  <si>
    <t xml:space="preserve">Modelo propio C3Tree (árbol binario de cláusulas); grafo causa-efecto y tabla de decisión; transformación basada en metamodelos MDA/ATL; no usa EARS, Gherkin, INVEST ni IEEE 29148</t>
  </si>
  <si>
    <t xml:space="preserve">causas y efectos (nodos true/false), relaciones Identify/AND/OR/NOT, reglas de decisión (Input/Output), script de ejecución de prueba, matriz de trazabilidad de requisitos</t>
  </si>
  <si>
    <t xml:space="preserve">Korean Requirement Analyzer (KRA)</t>
  </si>
  <si>
    <t xml:space="preserve">Transforma requisitos en lenguaje natural coreano en modelos C3Tree, luego en grafos causa-efecto y tablas de decisión, de los que se generan automáticamente casos de prueba ejecutables con scripts y reportes de trazabilidad.</t>
  </si>
  <si>
    <t xml:space="preserve">Pipeline automatizado que convierte requisitos coreanos no estructurados en casos de prueba ejecutables mediante modelos intermedios (C3Tree, grafo causa-efecto, tabla de decisión) usando transformación de metamodelos, validado con 78 requisitos reales.</t>
  </si>
  <si>
    <t xml:space="preserve">10.1109/tse.2020.2999884</t>
  </si>
  <si>
    <t xml:space="preserve">Automatic Test Case and Test Oracle Generation Based on Functional Scenarios in Formal Specifications for Conformance Testing</t>
  </si>
  <si>
    <t xml:space="preserve">https://doi.org/10.1109/tse.2020.2999884</t>
  </si>
  <si>
    <t xml:space="preserve">SOFL (Structured Object-Oriented Formal Language), VDM-SL</t>
  </si>
  <si>
    <t xml:space="preserve">Escenario funcional (guard condition + defining condition), precondición/postcondición, condición de prueba, dominio restringido</t>
  </si>
  <si>
    <t xml:space="preserve">Prototipo propio (V-Method) mencionado, sin nombre comercial</t>
  </si>
  <si>
    <t xml:space="preserve">Convierte la especificación formal (derivada de requisitos informales del usuario) en una forma de escenarios funcionales (FSF) y deriva algorítmicamente casos de prueba y oráculos de prueba a partir de cada escenario, buscando cobertura de escenarios y de rutas representativas del programa.</t>
  </si>
  <si>
    <t xml:space="preserve">Propone el V-Method (Vibration-Method), un método y conjunto de algoritmos para generar automáticamente casos de prueba y oráculos de prueba a partir de escenarios funcionales definidos en especificaciones formales pre/post-condición, validado mediante un experimento controlado con mutation testing.</t>
  </si>
  <si>
    <t xml:space="preserve">10.1109/icct-pacific63901.2025.11012780</t>
  </si>
  <si>
    <t xml:space="preserve">Automatic Test Cases Generation Method by Structuring Specification Documents Using Seq2Seq</t>
  </si>
  <si>
    <t xml:space="preserve">https://doi.org/10.1109/icct-pacific63901.2025.11012780</t>
  </si>
  <si>
    <t xml:space="preserve">Etiquetas de entrada/salida (input, input_cnd, output, output_cnd, condition)</t>
  </si>
  <si>
    <t xml:space="preserve">Estructura automáticamente especificaciones de requisitos en NL etiquetando información de entrada/salida/condición, y de esas etiquetas extrae casos de prueba de sistema/aceptación.</t>
  </si>
  <si>
    <t xml:space="preserve">Propone un método basado en modelo Seq2Seq con Attention para estructurar automáticamente especificaciones de requisitos y generar casos de prueba, comparándolo con enfoques previos basados en CRF y LSTM.</t>
  </si>
  <si>
    <t xml:space="preserve">10.1109/icse.2019.00035</t>
  </si>
  <si>
    <t xml:space="preserve">Automatically Generating Precise Oracles from Structured Natural Language Specifications</t>
  </si>
  <si>
    <t xml:space="preserve">https://doi.org/10.1109/icse.2019.00035</t>
  </si>
  <si>
    <t xml:space="preserve">Firma del método/argumentos, asignaciones de variables intermedias, condiciones que llevan a retorno/excepción, oráculo esperado (valor/excepción)</t>
  </si>
  <si>
    <t xml:space="preserve">Swami</t>
  </si>
  <si>
    <t xml:space="preserve">Extrae mediante reglas basadas en expresiones regulares el oráculo de comportamiento (excepcional y de frontera) directamente de especificaciones estructuradas en lenguaje natural (ECMA-262), generando plantillas de prueba que luego se instancian con entradas aleatorias para producir pruebas ejecutables.</t>
  </si>
  <si>
    <t xml:space="preserve">Técnica (Swami) para generar automáticamente oráculos de prueba precisos a partir de especificaciones estructuradas en lenguaje natural, validada en la especificación oficial de JavaScript, hallando defectos reales y ambigüedades en la especificación.</t>
  </si>
  <si>
    <t xml:space="preserve">—</t>
  </si>
  <si>
    <t xml:space="preserve">BeSoS: A Tool for Behavior-driven and Scenario-based Requirements Modeling for Systems of Systems</t>
  </si>
  <si>
    <t xml:space="preserve">https://scholar.google.com/scholar?q=BeSoS%3A%20A%20Tool%20for%20Behavior-driven%20and%20Scenario-based%20Requirements%20Modeling%20for%20Systems%20of%20Systems</t>
  </si>
  <si>
    <t xml:space="preserve">Gherkin, BDD (Cucumber)</t>
  </si>
  <si>
    <t xml:space="preserve">Feature specification, usage scenarios (Given-When-Then), test step specification, inter-system/intra-system scenarios</t>
  </si>
  <si>
    <t xml:space="preserve">BeSoS</t>
  </si>
  <si>
    <t xml:space="preserve">Las escenarios de uso escritos en Gherkin (BDD) se usan para derivar automáticamente esqueletos de prueba (Given-When-Then) que guían el modelado iterativo dirigido por pruebas (TDSS) de los requisitos.</t>
  </si>
  <si>
    <t xml:space="preserve">Herramienta que integra BDD (Cucumber) con modelado de escenarios ejecutables (SMLK) para la especificación iterativa y dirigida por pruebas de requisitos en sistemas de sistemas.</t>
  </si>
  <si>
    <t xml:space="preserve">10.1007/978-3-031-64576-1_2</t>
  </si>
  <si>
    <t xml:space="preserve">CM-DIR: A Method to Support the Specification of the User's Dynamic Behavior in Recommender Systems</t>
  </si>
  <si>
    <t xml:space="preserve">https://doi.org/10.1007/978-3-031-64576-1_2</t>
  </si>
  <si>
    <t xml:space="preserve">User Stories (Cohn), BDD (North)</t>
  </si>
  <si>
    <t xml:space="preserve">persona, feature, context, at time (sequence/period/moment), benefit, Given-When-Then, diccionario de interacciones</t>
  </si>
  <si>
    <t xml:space="preserve">Extiende las historias de usuario y escenarios BDD con parámetros de tiempo, contexto e interacción; cada opción de interfaz genera un escenario de prueba potencial, aunque el mecanismo de generación automática de pruebas no se implementa, solo se plantea como trabajo futuro.</t>
  </si>
  <si>
    <t xml:space="preserve">Método CM-DIR que extiende user stories y BDD con conceptos de dinamicidad (tiempo, contexto, interacción) para especificar el comportamiento dinámico del usuario en sistemas de recomendación, validado con panel de 7 expertos.</t>
  </si>
  <si>
    <t xml:space="preserve">10.1109/rew57809.2023.00019</t>
  </si>
  <si>
    <t xml:space="preserve">CiRA: An Open-Source Python Package for Automated Generation of Test Case Descriptions from Natural Language Requirements</t>
  </si>
  <si>
    <t xml:space="preserve">https://doi.org/10.1109/rew57809.2023.00019</t>
  </si>
  <si>
    <t xml:space="preserve">Requisitos condicionales causales (causal requirements), no un estándar formal como EARS/Gherkin pero conceptualmente análogo</t>
  </si>
  <si>
    <t xml:space="preserve">eventos causa/efecto, variables, condiciones, junctores, grafo causa-efecto (CEG), casos de prueba (TC1..TCn)</t>
  </si>
  <si>
    <t xml:space="preserve">CiRA (Causality In Requirements Artifacts)</t>
  </si>
  <si>
    <t xml:space="preserve">CiRA clasifica y etiqueta requisitos causales en lenguaje natural, construye un grafo causa-efecto y deriva automáticamente un conjunto mínimo de descripciones de casos de prueba que logran cobertura completa del requisito.</t>
  </si>
  <si>
    <t xml:space="preserve">Paquete Python de código abierto (basado en BERT/RoBERTa) que automatiza la generación de descripciones de casos de prueba a partir de requisitos condicionales en lenguaje natural, evaluado sobre 61 requisitos del Corona-Warn-App.</t>
  </si>
  <si>
    <t xml:space="preserve">10.1109/aeeicb.2017.7972390</t>
  </si>
  <si>
    <t xml:space="preserve">Constructing Test Cases using Natural Language Processing</t>
  </si>
  <si>
    <t xml:space="preserve">https://doi.org/10.1109/aeeicb.2017.7972390</t>
  </si>
  <si>
    <t xml:space="preserve">Estructura genérica de SRS (introducción, descripción general, requisitos específicos)</t>
  </si>
  <si>
    <t xml:space="preserve">test steps, test data, expected results, actual results, status (pass/fail), sentencias condicionales if-then</t>
  </si>
  <si>
    <t xml:space="preserve">Extrae sustantivos y cláusulas if/then de los requisitos funcionales del SRS para poblar automáticamente una tabla de casos de prueba (pasos, datos, resultado esperado).</t>
  </si>
  <si>
    <t xml:space="preserve">Sistema propuesto para generar automáticamente casos de prueba a partir de requisitos funcionales de un SRS mediante NLP basado en palabras clave, ilustrado con un ejemplo de página de login.</t>
  </si>
  <si>
    <t xml:space="preserve">10.5220/0005347800670077</t>
  </si>
  <si>
    <t xml:space="preserve">Cost-effective Functional Testing of Reactive Software</t>
  </si>
  <si>
    <t xml:space="preserve">https://doi.org/10.5220/0005347800670077</t>
  </si>
  <si>
    <t xml:space="preserve">Expressive Decision Table (EDT) - notación tabular propia de especificación</t>
  </si>
  <si>
    <t xml:space="preserve">señales de entrada/salida, filas que mapean 1:1 a requisitos, patrones temporizados, RejectFlag (restricciones de entorno), ErrorFlag (propiedades de seguridad)</t>
  </si>
  <si>
    <t xml:space="preserve">EDT-Test (implementa el algoritmo RGRaF)</t>
  </si>
  <si>
    <t xml:space="preserve">Cada fila de la EDT corresponde directamente a un requisito funcional en lenguaje natural; el algoritmo RGRaF genera automáticamente secuencias de entrada/salida que logran cobertura de fila y de interacción entre filas, mapeando directamente a cobertura de requisitos.</t>
  </si>
  <si>
    <t xml:space="preserve">Método EBT (notación EDT + algoritmo RGRaF) para generación automática y escalable de casos de prueba funcionales para software reactivo, validado en tres proyectos automotrices reales con hasta 60% de ahorro de esfuerzo y detección de un bug en producción.</t>
  </si>
  <si>
    <t xml:space="preserve">10.1109/icct-pacific69083.2026.11518865</t>
  </si>
  <si>
    <t xml:space="preserve">Data Augmentation Method for Improving the Accuracy of Automated Test Case Generation Using Attention Seq2Seq Model</t>
  </si>
  <si>
    <t xml:space="preserve">https://doi.org/10.1109/icct-pacific69083.2026.11518865</t>
  </si>
  <si>
    <t xml:space="preserve">Esquema propio de etiquetado (input/input_cnd/output/output_cnd/condition), no un estándar formal</t>
  </si>
  <si>
    <t xml:space="preserve">etiquetas input, input_cnd, output, output_cnd, condition sobre oraciones de requisitos</t>
  </si>
  <si>
    <t xml:space="preserve">Modelo Attention Seq2Seq (con CRF++ y MeCab como componentes previos)</t>
  </si>
  <si>
    <t xml:space="preserve">Las oraciones de la especificación de requisitos se etiquetan (entrada/salida/condición) mediante un modelo entrenado (Attention Seq2Seq) y un programa extrae automáticamente los casos de prueba de sistema/aceptación a partir de esas etiquetas.</t>
  </si>
  <si>
    <t xml:space="preserve">Método de aumento de datos (EDA adaptado con ajuste de proporción de tareas y filtrado por similitud coseno) que mejora la precisión (de 70% a 89%, superando el 81% de CRF) de un modelo Attention Seq2Seq para generación automática de casos de prueba desde especificaciones de requisitos estructuradas.</t>
  </si>
  <si>
    <t xml:space="preserve">10.1007/978-3-032-12086-1_6</t>
  </si>
  <si>
    <t xml:space="preserve">Deriving Sound Test Scripts from Requirements Written in a Controlled Natural Language</t>
  </si>
  <si>
    <t xml:space="preserve">https://doi.org/10.1007/978-3-032-12086-1_6</t>
  </si>
  <si>
    <t xml:space="preserve">Controlled Natural Language (CNL) propia con gramática EBNF, Frame Theory/Case Frames, CSP/cspio (formal, no normativo)</t>
  </si>
  <si>
    <t xml:space="preserve">Frames con slots requeridos (agente, operación, paciente) y opcionales (modalidad, polaridad, calificador), circunstancias (condición/evento), modelo de dominio (dependencias, cancelaciones, detalles, instanciaciones, elecciones de consistencia)</t>
  </si>
  <si>
    <t xml:space="preserve">Framework CNL basado en Grammatical Framework (GF) + generador de casos de prueba (ATG) sobre CSP/FDR; mapeo a scripts Java/UIAutomator</t>
  </si>
  <si>
    <t xml:space="preserve">Los requisitos en CNL se traducen formalmente a procesos CSP y, combinados con un modelo de dominio, permiten generar automáticamente casos de prueba sanos y consistentes mediante verificación de refinamiento (cspio), linealizables a scripts ejecutables.</t>
  </si>
  <si>
    <t xml:space="preserve">Método formal que deriva scripts de prueba sanos y consistentes a partir de requisitos en un lenguaje natural controlado, usando semántica CSP y un modelo de dominio explícito para resolver dependencias entre pasos.</t>
  </si>
  <si>
    <t xml:space="preserve">10.18293/seke2022-179</t>
  </si>
  <si>
    <t xml:space="preserve">EARS2TF: A Tool for Automated Planning Test from Semi-formalized Requirements</t>
  </si>
  <si>
    <t xml:space="preserve">https://doi.org/10.18293/seke2022-179</t>
  </si>
  <si>
    <t xml:space="preserve">EARS (Easy Approach to Requirements Syntax), ISO/IEC 29119, UML Testing Profile (UTP)</t>
  </si>
  <si>
    <t xml:space="preserve">Tipos de requisito EARS, información clave de prueba extraída del requisito, objeto de prueba y arquitectura de prueba del test framework</t>
  </si>
  <si>
    <t xml:space="preserve">EARS2TF (basado en Eclipse Xtext)</t>
  </si>
  <si>
    <t xml:space="preserve">Parsea requisitos escritos en la plantilla EARS y, mediante algoritmos que extraen su información clave, genera automáticamente un marco (framework) de pruebas textual que sirve de base para el testing.</t>
  </si>
  <si>
    <t xml:space="preserve">Herramienta que integra un editor de requisitos conforme a EARS con un generador automático de marcos de prueba, validada sobre ejemplos del dataset público PURE.</t>
  </si>
  <si>
    <t xml:space="preserve">10.1145/3463274.3463807</t>
  </si>
  <si>
    <t xml:space="preserve">Empirical Findings on BDD Story Parsing to Support Consistency Assurance between Requirements and Artifacts</t>
  </si>
  <si>
    <t xml:space="preserve">https://doi.org/10.1145/3463274.3463807</t>
  </si>
  <si>
    <t xml:space="preserve">BDD (Behaviour-Driven Development), formato Given-When-Then, propuesta futura de CNL para BDD</t>
  </si>
  <si>
    <t xml:space="preserve">Steps/escenarios BDD, tareas candidatas, comportamientos interactivos, clases/atributos/métodos/asociaciones candidatas</t>
  </si>
  <si>
    <t xml:space="preserve">Replicación de los enfoques de Soeken et al. (parsing con Stanford Parser/WordNet) y de Silva et al. (ontología + herramienta de assessment)</t>
  </si>
  <si>
    <t xml:space="preserve">Parsea los steps de historias BDD (Given-When-Then, que ya constituyen criterios de aceptación ejecutables) para identificar elementos que permiten evaluar la consistencia con diagramas de clases, modelos de tareas y prototipos de GUI.</t>
  </si>
  <si>
    <t xml:space="preserve">Evaluación empírica de la precisión de dos enfoques de parsing de historias BDD para identificar elementos de consistencia, mostrando bajo desempeño en diagramas de clases y buen desempeño en modelos de tareas/GUI, y motivando el uso de un lenguaje natural controlado para BDD.</t>
  </si>
  <si>
    <t xml:space="preserve">10.14569/ijacsa.2020.0111036</t>
  </si>
  <si>
    <t xml:space="preserve">Enhancing Acceptance Test Driven Development Model with Combinatorial Logic</t>
  </si>
  <si>
    <t xml:space="preserve">https://doi.org/10.14569/ijacsa.2020.0111036</t>
  </si>
  <si>
    <t xml:space="preserve">Gherkin (Given-When-Then), ATDD</t>
  </si>
  <si>
    <t xml:space="preserve">Reglas de lógica combinatoria en el SRS, criterios de aceptación en formato Given-When-Then, comentarios de cálculo</t>
  </si>
  <si>
    <t xml:space="preserve">Modelo CLO-ATDD (Combinatorial Logic Oriented-ATDD), implementado con Vue.js/Express/MongoDB sobre el caso Indian Railway Reservation System</t>
  </si>
  <si>
    <t xml:space="preserve">El SRS se enriquece con reglas de lógica combinatoria que se traducen directamente en pruebas de aceptación Given-When-Then, y un algoritmo genera automáticamente los casos de prueba combinatorios (2-way y 3-way) a partir de esas reglas.</t>
  </si>
  <si>
    <t xml:space="preserve">Propone y valida CLO-ATDD, una extensión del modelo ATDD que incorpora lógica combinatoria en todas las fases del SDLC, generando cientos de casos de prueba combinatorios a partir de reglas del SRS en un caso de estudio real.</t>
  </si>
  <si>
    <t xml:space="preserve">10.1109/icsec47112.2019.8974672</t>
  </si>
  <si>
    <t xml:space="preserve">Enhancing Software Testing with Ontology Engineering Approach</t>
  </si>
  <si>
    <t xml:space="preserve">https://doi.org/10.1109/icsec47112.2019.8974672</t>
  </si>
  <si>
    <t xml:space="preserve">CNL (ROO - Rabbit to OWL), IEEE Std 830-1998 (SRS), OWL</t>
  </si>
  <si>
    <t xml:space="preserve">Requisitos funcionales y restricciones (Req. ID FUN/CON), clases/relaciones de la ontología, clasificación terminal (variables) para generación de pruebas</t>
  </si>
  <si>
    <t xml:space="preserve">ReqOntoTestGen (ROO + mapeo OWL-XML + CCTM)</t>
  </si>
  <si>
    <t xml:space="preserve">Los requisitos funcionales en SRS se formalizan con CNL (ROO) en una ontología OWL, se mapean a un diccionario de datos XML, y de ahí se generan casos de prueba de caja negra mediante el método combinado de clasificación y partición de equivalencia (CCTM).</t>
  </si>
  <si>
    <t xml:space="preserve">Framework híbrido que combina ontologías construidas con lenguaje natural controlado con generación de casos de prueba (CCTM) para reducir la generación de pruebas incorrectas por requisitos ambiguos, validado en un sistema bibliotecario real.</t>
  </si>
  <si>
    <t xml:space="preserve">10.1145/3394979</t>
  </si>
  <si>
    <t xml:space="preserve">Ensuring the Consistency between User Requirements and Task Models: A Behavior-Based Automated Approach</t>
  </si>
  <si>
    <t xml:space="preserve">https://doi.org/10.1145/3394979</t>
  </si>
  <si>
    <t xml:space="preserve">BDD (Given-When-Then), Gherkin, notación de modelos de tareas HAMSTERS</t>
  </si>
  <si>
    <t xml:space="preserve">Steps de escenarios BDD, tareas (task) de HAMSTERS, comportamientos interactivos y elementos de interacción de una ontología GUI</t>
  </si>
  <si>
    <t xml:space="preserve">Herramienta propia en Java (JDOM/JUnit) que integra HAMSTERS con historias BDD</t>
  </si>
  <si>
    <t xml:space="preserve">Compara automáticamente, paso a paso, los escenarios de historias BDD (requisitos ejecutables) con escenarios extraídos de modelos de tareas HAMSTERS, detectando inconsistencias mediante un análisis estático tipo test JUnit.</t>
  </si>
  <si>
    <t xml:space="preserve">Propone un enfoque automatizado basado en BDD y una ontología común para evaluar la consistencia entre historias de usuario/BDD y modelos de tareas, validado en un caso de estudio de reserva de viajes de negocio.</t>
  </si>
  <si>
    <t xml:space="preserve">10.1007/978-3-030-00787-4_1</t>
  </si>
  <si>
    <t xml:space="preserve">Enterprise Ontology-Driven Development</t>
  </si>
  <si>
    <t xml:space="preserve">https://doi.org/10.1007/978-3-030-00787-4_1</t>
  </si>
  <si>
    <t xml:space="preserve">DEMO (Design &amp; Engineering Methodology for Organizations), BDD (Given-When-Then), Gherkin</t>
  </si>
  <si>
    <t xml:space="preserve">Patrón de transacción (actos/hechos de coordinación y producción), roles de actor (iniciador/ejecutor), plantilla de feature/escenario BDD</t>
  </si>
  <si>
    <t xml:space="preserve">Behat (framework BDD para PHP)</t>
  </si>
  <si>
    <t xml:space="preserve">Los actos y hechos de coordinación/producción identificados mediante el patrón de transacción DEMO se insertan en escenarios BDD Given-When-Then, a partir de los cuales Behat genera automáticamente esqueletos de clases de prueba.</t>
  </si>
  <si>
    <t xml:space="preserve">Propone un procedimiento paso a paso para integrar el patrón de transacción de la metodología DEMO en escenarios BDD, permitiendo generar automáticamente esqueletos de pruebas con Behat, ilustrado en un caso de estudio empresarial real.</t>
  </si>
  <si>
    <t xml:space="preserve">10.1145/3364641.3364673</t>
  </si>
  <si>
    <t xml:space="preserve">Extraction of test cases procedures from textual use cases to reduce test effort: Test Factory Experience Report</t>
  </si>
  <si>
    <t xml:space="preserve">https://doi.org/10.1145/3364641.3364673</t>
  </si>
  <si>
    <t xml:space="preserve">Plantilla organizacional propia de casos de uso (sin estándar formal tipo IEEE/EARS/Gherkin); referencia a ISO/IEC/IEEE 29119-2</t>
  </si>
  <si>
    <t xml:space="preserve">Objetivo, precondiciones, flujo básico, flujos alternativos/excepción, pasos con actor/sistema, entradas de datos, referencias entre flujos</t>
  </si>
  <si>
    <t xml:space="preserve">Herramienta propia (PWA en Ionic) integrada con JIRA y TestLink, sin nombre propio</t>
  </si>
  <si>
    <t xml:space="preserve">Extrae mediante expresiones regulares los campos estructurados (flujos, pasos, entradas) de casos de uso textuales que siguen una plantilla organizacional, y genera automáticamente procedimientos y casos de prueba a partir de esos flujos.</t>
  </si>
  <si>
    <t xml:space="preserve">Reporte de experiencia industrial (Fábrica de Testes) que muestra reducción de esfuerzo (~65%) al generar semi-automáticamente procedimientos de prueba desde casos de uso textuales estructurados, junto con lecciones aprendidas.</t>
  </si>
  <si>
    <t xml:space="preserve">10.1007/978-981-95-1746-6_39</t>
  </si>
  <si>
    <t xml:space="preserve">FAMRES: A Framework for Automated Testing of Microservices Based on Requirement Specifications</t>
  </si>
  <si>
    <t xml:space="preserve">https://doi.org/10.1007/978-981-95-1746-6_39</t>
  </si>
  <si>
    <t xml:space="preserve">Especificación de requisitos en XML propia, Boundary Value Analysis (BVA), Equivalence Class Partitioning (ECP)</t>
  </si>
  <si>
    <t xml:space="preserve">nombre de API, descripción, parámetros y tipos, reglas de negocio (condiciones, subcondiciones, valores de retorno)</t>
  </si>
  <si>
    <t xml:space="preserve">FAMRES (implementado en Java)</t>
  </si>
  <si>
    <t xml:space="preserve">A partir de una especificación de requisitos en XML se generan automáticamente datos de prueba (BVA/ECP), que junto al cálculo manual de salidas esperadas forman casos de prueba ejecutados contra la API del microservicio.</t>
  </si>
  <si>
    <t xml:space="preserve">Framework y herramienta que automatizan la generación de datos de prueba y la ejecución/reporte de pruebas de APIs de microservicios a partir de especificaciones de requisitos en XML.</t>
  </si>
  <si>
    <t xml:space="preserve">10.1007/978-3-032-21631-1_22</t>
  </si>
  <si>
    <t xml:space="preserve">FSTG: Few-Shot Test Case Generation from Use Case Specifications Using Large Language Models</t>
  </si>
  <si>
    <t xml:space="preserve">https://doi.org/10.1007/978-3-032-21631-1_22</t>
  </si>
  <si>
    <t xml:space="preserve">Casos de uso estilo Cockburn</t>
  </si>
  <si>
    <t xml:space="preserve">meta (goal), precondiciones, escenario de éxito principal (main flow), extensiones/flujos alternativos, rutas ejecutables</t>
  </si>
  <si>
    <t xml:space="preserve">FSTG (Few-Shot Test case Generation)</t>
  </si>
  <si>
    <t xml:space="preserve">Extrae semánticamente precondiciones, flujo principal y extensiones del caso de uso, construye un prompt estructurado con ejemplos few-shot y usa un LLM para generar casos de prueba que cubren todos los caminos ejecutables, con evaluación automática de cobertura y redundancia.</t>
  </si>
  <si>
    <t xml:space="preserve">Framework de generación de casos de prueba mediante prompting few-shot con LLMs a partir de especificaciones de casos de uso estilo Cockburn, con evaluación empírica en 112 casos de uso de cinco sistemas reales mostrando mejoras en cobertura, detección de fallos y tiempo frente a baselines basados en modelos y zero-shot.</t>
  </si>
  <si>
    <t xml:space="preserve">10.1145/3350768.3350781</t>
  </si>
  <si>
    <t xml:space="preserve">Feature-Trace: Generating Operational Profile and Supporting Testing Prioritization from BDD Features</t>
  </si>
  <si>
    <t xml:space="preserve">https://doi.org/10.1145/3350768.3350781</t>
  </si>
  <si>
    <t xml:space="preserve">BDD / Gherkin</t>
  </si>
  <si>
    <t xml:space="preserve">Feature, Scenario, Step (BDD); Customer/User/System-mode Profile, Functional Profile, Key-input Variable, Operational Profile</t>
  </si>
  <si>
    <t xml:space="preserve">Feature-Trace (tool con modulos ARM, Analyzer, Visualizer)</t>
  </si>
  <si>
    <t xml:space="preserve">Utiliza las trazas de ejecucion de features y escenarios BDD (Gherkin) para construir un perfil operacional que sirve para priorizar y seleccionar casos de prueba existentes, sin generar pruebas nuevas.</t>
  </si>
  <si>
    <t xml:space="preserve">Propone Feature-Trace, un enfoque semi-automatizado que deriva el Perfil Operacional a partir de artefactos BDD para apoyar la priorizacion de pruebas, validado en un estudio de caso sobre el software Diaspora.</t>
  </si>
  <si>
    <t xml:space="preserve">10.1007/978-3-030-40223-5_3</t>
  </si>
  <si>
    <t xml:space="preserve">From Requirements to Automated Acceptance Tests with the RSL Language</t>
  </si>
  <si>
    <t xml:space="preserve">https://doi.org/10.1007/978-3-030-40223-5_3</t>
  </si>
  <si>
    <t xml:space="preserve">RSL (Requirements Specification Language, iniciativa ITLingo); plantilla de casos de uso al estilo Cockburn; patrón Given-When-Then para AcceptanceCriteriaTest</t>
  </si>
  <si>
    <t xml:space="preserve">actor, caso de uso (UseCase), entidad de datos (DataEntity), escenario de prueba (TestScenario), paso de prueba (TestStep), precondición, variables, criterios de aceptación (Valid/Invalid)</t>
  </si>
  <si>
    <t xml:space="preserve">RSL/ITLingo-Studio y Robot Framework</t>
  </si>
  <si>
    <t xml:space="preserve">Genera de forma semiautomática casos de prueba RSL (UseCaseTest) a partir de las especificaciones de requisitos RSL (UseCase), y luego transforma esos casos de prueba en scripts ejecutables del Robot Framework.</t>
  </si>
  <si>
    <t xml:space="preserve">Enfoque de model-to-model testing que alinea requisitos y pruebas de aceptación mediante el lenguaje RSL, generando automáticamente scripts de prueba ejecutables, ilustrado con un caso de estudio de una tienda online.</t>
  </si>
  <si>
    <t xml:space="preserve">10.1145/3019612.3019790</t>
  </si>
  <si>
    <t xml:space="preserve">Generating Test Cases and Procedures from Use Cases in Dynamic Software Product Lines</t>
  </si>
  <si>
    <t xml:space="preserve">https://doi.org/10.1145/3019612.3019790</t>
  </si>
  <si>
    <t xml:space="preserve">CNL propio CARNAUbA (lenguaje natural controlado); método adaptado de Category Partition (PLUTO)</t>
  </si>
  <si>
    <t xml:space="preserve">Nombre de caso de uso, categoría de reutilización (mandatory/alternative/optional), contexto necesario, punto de variación/variante, pasos de acción/condicional/loop</t>
  </si>
  <si>
    <t xml:space="preserve">CARNAUbA (CNL) + herramienta de generación de pruebas basada en Robotium/FitNesse</t>
  </si>
  <si>
    <t xml:space="preserve">Los casos de uso se escriben en el CNL CARNAUbA con campos estructurados (contexto, variabilidad, verbos); un método de 4 pasos (partición de categorías adaptada, análisis sintáctico y semántico, generación concreta) transforma esas especificaciones en casos y procedimientos de prueba ejecutables.</t>
  </si>
  <si>
    <t xml:space="preserve">Propone CARNAUbA, un lenguaje natural controlado para especificar casos de uso de líneas de productos dinámicas conscientes del contexto, junto con un método de generación de pruebas validado en un experimento piloto (~40% más rápido que manual).</t>
  </si>
  <si>
    <t xml:space="preserve">10.1109/tase52547.2021.00029</t>
  </si>
  <si>
    <t xml:space="preserve">Generating Test Cases from Requirements: A Case Study in Railway Control System Domain</t>
  </si>
  <si>
    <t xml:space="preserve">https://doi.org/10.1109/tase52547.2021.00029</t>
  </si>
  <si>
    <t xml:space="preserve">MC/DC (DO-333), EN-50128, CASDL (lenguaje formal de dominio propio)</t>
  </si>
  <si>
    <t xml:space="preserve">Bloques de estado (Block/DefBlock/Tasks), diccionario de datos (nombre, tipo, criticidad, valor), restricciones de condición, entradas y oráculos de prueba</t>
  </si>
  <si>
    <t xml:space="preserve">CASDL + framework de generación de pruebas con Z3 (SMT solver)</t>
  </si>
  <si>
    <t xml:space="preserve">Los requisitos en lenguaje natural se reescriben en la especificación formal CASDL; de ella se extraen restricciones, se generan entradas de prueba con MC/DC vía SMT solver (Z3), y se derivan oráculos simulando la especificación formal.</t>
  </si>
  <si>
    <t xml:space="preserve">Método y herramienta para generar automáticamente casos de prueba (entradas MC/DC + oráculos) desde requisitos formalizados en CASDL, validado en un sistema industrial real de protección automática de trenes (Casco Signal), detectando 40 inconsistencias.</t>
  </si>
  <si>
    <t xml:space="preserve">10.1145/3787256.3787263</t>
  </si>
  <si>
    <t xml:space="preserve">Improving Training Data Quality for Automated Test Case Generation Using Machine Learning and Its Evaluation</t>
  </si>
  <si>
    <t xml:space="preserve">https://doi.org/10.1145/3787256.3787263</t>
  </si>
  <si>
    <t xml:space="preserve">Esquema propio de etiquetado (tags) sobre requisitos en lenguaje natural, sin estándar formal (no ISO/IEEE, no Gherkin); asimilable a un CNL ad-hoc</t>
  </si>
  <si>
    <t xml:space="preserve">Etiquetas &lt;input&gt;, &lt;input_cnd&gt;, &lt;output&gt;, &lt;output_cnd&gt;, &lt;condition&gt;, &lt;agent&gt;, &lt;check_point&gt; sobre la especificación de requisitos</t>
  </si>
  <si>
    <t xml:space="preserve">CRF++ (con MeCab para análisis morfológico); método propio de selección de datos de entrenamiento (BoW, LSA, LSA-noun-only, LDA)</t>
  </si>
  <si>
    <t xml:space="preserve">Estructura (etiqueta) las especificaciones de requisitos en lenguaje natural con tags de entrada/salida/condición y usa esos datos etiquetados para entrenar un modelo CRF que genera automáticamente casos de prueba de sistema/aceptación a partir de nuevas especificaciones.</t>
  </si>
  <si>
    <t xml:space="preserve">Propone y evalúa cuatro procedimientos de vectorización (BoW, LSA, LSA-noun-only, LDA) para seleccionar especificaciones de requisitos similares e incluirlas en el entrenamiento, logrando con LDA una calidad de datos de entrenamiento equivalente a la de todo el corpus (F-measure &gt;85%) con muchos menos documentos.</t>
  </si>
  <si>
    <t xml:space="preserve">Industrial approach in requirement engineering</t>
  </si>
  <si>
    <t xml:space="preserve">https://scholar.google.com/scholar?q=Industrial%20approach%20in%20requirement%20engineering</t>
  </si>
  <si>
    <t xml:space="preserve">Use Case Maps (UCM) / ITU-T Z.151 (URN), Message Sequence Chart / ITU-T Z.120 (MSC)</t>
  </si>
  <si>
    <t xml:space="preserve">Precondiciones, actividades/acciones, consecuencias (postcondiciones), cadenas de criterios (criteria chains)</t>
  </si>
  <si>
    <t xml:space="preserve">VRS/TAT (Verification of Requirement Specifications / Test Automation Technology)</t>
  </si>
  <si>
    <t xml:space="preserve">Transforma requisitos en lenguaje natural en un modelo de comportamiento formal (UCM) que, tras ser verificado, se usa para generar automáticamente escenarios y conjuntos de pruebas que cubren completamente el comportamiento especificado.</t>
  </si>
  <si>
    <t xml:space="preserve">Presenta una metodología industrial (VRS/TAT) para formalizar requisitos en modelos UCM verificables y generar automáticamente pruebas con cobertura completa, aplicada en proyectos reales de telecomunicaciones (Motorola).</t>
  </si>
  <si>
    <t xml:space="preserve">10.1109/re.2018.00041</t>
  </si>
  <si>
    <t xml:space="preserve">Integrating Requirements Specification and Model-Based Testing in Agile Development</t>
  </si>
  <si>
    <t xml:space="preserve">https://doi.org/10.1109/re.2018.00041</t>
  </si>
  <si>
    <t xml:space="preserve">CLARET: DSL propia definida en EBNF, alineada con UML use case; comparado explícitamente con Gherkin/BDD</t>
  </si>
  <si>
    <t xml:space="preserve">systemName, usecase, actor, preCondition, postCondition, basic flow, alternative flow, exception flow, pasos con identificador/agente/descripción NL</t>
  </si>
  <si>
    <t xml:space="preserve">CLARET (notación + toolset: compilador, generador de modelos TGF, LTS-BT, integración con TestLink)</t>
  </si>
  <si>
    <t xml:space="preserve">Las especificaciones de casos de uso en CLARET se compilan en modelos de transición etiquetada (TGF) a partir de los cuales la herramienta LTS-BT genera automáticamente casos de prueba de sistema para ejecución manual, integrados con TestLink.</t>
  </si>
  <si>
    <t xml:space="preserve">Presenta CLARET, notación central para RE y MBT que permite especificar casos de uso en lenguaje natural estructurado y generar automáticamente documentos de requisitos y suites de prueba, validada en estudios de calidad, encuestas y casos de estudio industriales (78-283 casos de prueba por sistema, defectos reales detectados).</t>
  </si>
  <si>
    <t xml:space="preserve">10.1109/it4od.2016.7479255</t>
  </si>
  <si>
    <t xml:space="preserve">Invalid Input Data and Conformity Testing for an Object-Oriented Specification</t>
  </si>
  <si>
    <t xml:space="preserve">https://doi.org/10.1109/it4od.2016.7479255</t>
  </si>
  <si>
    <t xml:space="preserve">Design by Contract (Meyer), OCL, JML</t>
  </si>
  <si>
    <t xml:space="preserve">precondición, postcondición, invariante</t>
  </si>
  <si>
    <t xml:space="preserve">Usa precondiciones, postcondiciones e invariantes de una especificación OO formal para particionar el dominio de entrada y generar datos de prueba válidos e inválidos que verifican conformidad y robustez del código.</t>
  </si>
  <si>
    <t xml:space="preserve">Propone un modelo de restricciones y una partición de dominios de entrada para realizar pruebas de conformidad y de robustez usando datos de entrada inválidos en especificaciones orientadas a objetos.</t>
  </si>
  <si>
    <t xml:space="preserve">10.1145/3365438.3410953</t>
  </si>
  <si>
    <t xml:space="preserve">Leveraging Natural-language Requirements for Deriving Better Acceptance Criteria from Models</t>
  </si>
  <si>
    <t xml:space="preserve">https://doi.org/10.1145/3365438.3410953</t>
  </si>
  <si>
    <t xml:space="preserve">Rimay (CNL inspirado en EARS), Gherkin, UML (Activity/Class/Use Case Diagrams)</t>
  </si>
  <si>
    <t xml:space="preserve">Actor, condicion (scope/condition structures), system response, propiedades de objeto; criterios de aceptacion Given-When-Then</t>
  </si>
  <si>
    <t xml:space="preserve">AGAC (Automated Generation of Acceptance Criteria)</t>
  </si>
  <si>
    <t xml:space="preserve">Extrae informacion relevante para criterios de aceptacion de requisitos en lenguaje natural controlado (Rimay) para enriquecer diagramas de actividad, y a partir del modelo enriquecido AGAC genera automaticamente criterios de aceptacion como escenarios Gherkin.</t>
  </si>
  <si>
    <t xml:space="preserve">Propone 13 reglas de extraccion que reconcilian requisitos en NL y modelos, generando recomendaciones de enriquecimiento que mejoran la precision y completitud de los criterios de aceptacion generados automaticamente, validado en un estudio de caso industrial (precision 89%, recall 100%).</t>
  </si>
  <si>
    <t xml:space="preserve">10.1145/2899415.2899424</t>
  </si>
  <si>
    <t xml:space="preserve">Making Formal Methods More Relevant to Software Engineering Students via Automated Test Generation</t>
  </si>
  <si>
    <t xml:space="preserve">https://doi.org/10.1145/2899415.2899424</t>
  </si>
  <si>
    <t xml:space="preserve">Diseño por Contrato (precondiciones/postcondiciones al estilo Floyd/Hoare); notación similar a JML/Eiffel; no usa EARS, Gherkin ni IEEE 29148</t>
  </si>
  <si>
    <t xml:space="preserve">precondiciones (pre), postcondiciones (post), cuantificadores (forall/exists), valores primados (pre vs post)</t>
  </si>
  <si>
    <t xml:space="preserve">Spest (comparado con JML/JMLUnitNG)</t>
  </si>
  <si>
    <t xml:space="preserve">Genera automáticamente pruebas unitarias (TestNG) a partir de especificaciones formales de precondición/postcondición embebidas como comentarios anotados en el código, usando la postcondición como oráculo de prueba.</t>
  </si>
  <si>
    <t xml:space="preserve">Presenta Spest, un lenguaje de especificación simplificado embebido en Java que genera pruebas unitarias legibles y extensibles a partir de contratos formales, evaluado empíricamente en cursos de ingeniería de software frente a JML.</t>
  </si>
  <si>
    <t xml:space="preserve">10.1145/3452383.3452388</t>
  </si>
  <si>
    <t xml:space="preserve">Model-Based Testing in Practice: An Industrial Case Study using GraphWalker</t>
  </si>
  <si>
    <t xml:space="preserve">https://doi.org/10.1145/3452383.3452388</t>
  </si>
  <si>
    <t xml:space="preserve">Plantilla 'Given-Then-Within' (similar a Given-When-Then/BDD) para requisitos en lenguaje natural; notación de máquinas de estados finitos (GraphWalker)</t>
  </si>
  <si>
    <t xml:space="preserve">Guard conditions, estados/nodos, transiciones/edges, acciones, resultados esperados; en la especificación de pruebas: pasos, precondición, postcondición, prioridad, trazabilidad a requisitos</t>
  </si>
  <si>
    <t xml:space="preserve">GraphWalker (GW)</t>
  </si>
  <si>
    <t xml:space="preserve">Construye modelos de máquina de estados finitos (FSM) a partir de especificaciones de requisitos (formato Given-Then-Within) y de especificaciones de prueba manuales, y usa GraphWalker para generar automáticamente casos de prueba (recorridos aleatorios) que cubren aristas, nodos y requisitos, comparándolos con pruebas manuales.</t>
  </si>
  <si>
    <t xml:space="preserve">Estudio de caso industrial (TCMS de Bombardier) que muestra que un modelo MBT construido con requisitos + especificación de pruebas es más completo y representativo que uno basado solo en requisitos, y que las pruebas generadas por GraphWalker igualan o superan en cobertura de requisitos a las pruebas manuales.</t>
  </si>
  <si>
    <t xml:space="preserve">10.1007/s00165-016-0387-x</t>
  </si>
  <si>
    <t xml:space="preserve">Modelling timed reactive systems from natural-language requirements</t>
  </si>
  <si>
    <t xml:space="preserve">https://doi.org/10.1007/s00165-016-0387-x</t>
  </si>
  <si>
    <t xml:space="preserve">Lenguaje Natural Controlado (SysReq-CNL), Case Grammar (roles temáticos), notación Z</t>
  </si>
  <si>
    <t xml:space="preserve">Roles temáticos (agente, paciente, acción, condición, valores desde/hacia), entradas/salidas/temporizadores del sistema, guardas estáticas y temporizadas, asignaciones</t>
  </si>
  <si>
    <t xml:space="preserve">NAT2TEST (modelo DFRS simbólico y expandido)</t>
  </si>
  <si>
    <t xml:space="preserve">Los requisitos escritos en el CNL SysReq-CNL se analizan sintáctica y semánticamente (marcos de requisito con roles temáticos) y se traducen automáticamente en un modelo formal temporizado (DFRS), que a su vez alimenta la generación de casos de prueba (p.ej. en SCR o CSP) y el análisis de consistencia/completitud de los requisitos.</t>
  </si>
  <si>
    <t xml:space="preserve">Modelo formal DFRS (simbólico y expandido) generado automáticamente desde requisitos en lenguaje natural controlado, que soporta generación de pruebas basada en modelos y verificación de consistencia/completitud, validado con herramienta NAT2TEST en ejemplos de aeroespacial y automotriz (Embraer, Mercedes).</t>
  </si>
  <si>
    <t xml:space="preserve">10.1007/978-981-19-3444-5_48</t>
  </si>
  <si>
    <t xml:space="preserve">On the Evaluation of BDD Requirements with Text-based Metrics: The ETCS-L3 Case Study</t>
  </si>
  <si>
    <t xml:space="preserve">https://doi.org/10.1007/978-981-19-3444-5_48</t>
  </si>
  <si>
    <t xml:space="preserve">BDD/Gherkin (Given-When-Then)</t>
  </si>
  <si>
    <t xml:space="preserve">Palabras Given/When/Then, y 19 métricas NLP por oración (nº de sustantivos, verbos, pronombres, puntuación, palabras vagas, adverbios, verbos pasivos, etc.)</t>
  </si>
  <si>
    <t xml:space="preserve">HOMER (legibilidad) + herramienta propia de extracción de features NLP y modelo de pesos (sciPy)</t>
  </si>
  <si>
    <t xml:space="preserve">No genera pruebas; evalúa con métricas NLP tradicionales la calidad de requisitos reescritos en formato BDD/Gherkin, mostrando que dichas métricas no capturan las ventajas de esta forma estructurada de especificación pensada para derivar pruebas de comportamiento.</t>
  </si>
  <si>
    <t xml:space="preserve">Demuestra, mediante el caso ETCS-L3, que las métricas NLP tradicionales empeoran al aplicarse a requisitos reescritos en BDD/Gherkin pese a mejorar su comprensibilidad, evidenciando la necesidad de métricas específicas para esta notación.</t>
  </si>
  <si>
    <t xml:space="preserve">10.1007/978-3-030-58793-2_33</t>
  </si>
  <si>
    <t xml:space="preserve">Preliminary Experiences in Requirements-Based Security Testing</t>
  </si>
  <si>
    <t xml:space="preserve">https://doi.org/10.1007/978-3-030-58793-2_33</t>
  </si>
  <si>
    <t xml:space="preserve">ITLingo RSL (Requirements Specification Language), lenguaje natural controlado</t>
  </si>
  <si>
    <t xml:space="preserve">casos de uso, pruebas de caso de uso (use case tests), actores, entidades de datos, pasos, precondiciones, valores de prueba</t>
  </si>
  <si>
    <t xml:space="preserve">ITLingo Studio + Robot Framework</t>
  </si>
  <si>
    <t xml:space="preserve">Los casos de prueba se especifican de forma estructurada en RSL (vinculados a casos de uso) y se generan automáticamente como scripts de Robot Framework, incluyendo pruebas de seguridad (fuerza bruta, inyección SQL, XSS) sobre la aplicación OWASP Juice Shop.</t>
  </si>
  <si>
    <t xml:space="preserve">Experimento preliminar que extiende un enfoque previo de generación de pruebas de aceptación a partir de RSL para evaluar su aplicabilidad en aplicaciones SPA y en pruebas de seguridad, identificando limitaciones (mapeo de UI, falta de iteración en el lenguaje).</t>
  </si>
  <si>
    <t xml:space="preserve">10.1109/esem56168.2023.10304806</t>
  </si>
  <si>
    <t xml:space="preserve">Privacy and Security Documents for Agile Software Engineering: An Experiment of LGPD Inventory Adoption</t>
  </si>
  <si>
    <t xml:space="preserve">https://doi.org/10.1109/esem56168.2023.10304806</t>
  </si>
  <si>
    <t xml:space="preserve">User Stories; BDD Scenarios (Gherkin)</t>
  </si>
  <si>
    <t xml:space="preserve">Estructura de User Story (tarea principal), estructura de BDD Scenario (Given-When-Then); campos del Personal Data Inventory (proceso, actores, finalidad, base legal, datos, retencion, etc.)</t>
  </si>
  <si>
    <t xml:space="preserve">Los BDD Scenarios se usan como artefacto de especificacion de comportamiento esperado (potencial base para pruebas), pero el estudio evalua solo su creacion a partir de un Inventario de Datos Personales, sin derivar pruebas automatizadas a partir de ellos.</t>
  </si>
  <si>
    <t xml:space="preserve">Muestra experimentalmente que un Inventario de Datos Personales (documento de cumplimiento LGPD) puede usarse tan eficazmente como una descripcion detallada del sistema para crear User Stories y BDD Scenarios, sin diferencias estadisticamente significativas en cantidad ni calidad.</t>
  </si>
  <si>
    <t xml:space="preserve">10.1145/3522664.3528592</t>
  </si>
  <si>
    <t xml:space="preserve">Quality Assurance of Generative Dialog Models in an Evolving Conversational Agent Used for Swedish Language Practice</t>
  </si>
  <si>
    <t xml:space="preserve">https://doi.org/10.1145/3522664.3528592</t>
  </si>
  <si>
    <t xml:space="preserve">ISO/IEC/IEEE 29119 (soak testing); categorías de requisitos de chatbots de Martin et al.; práctica ágil de "test cases as requirements"</t>
  </si>
  <si>
    <t xml:space="preserve">categorías de requisitos (Personality, Onboarding, Understanding, Answering, Navigation, Error management, Intelligence), definiciones de dominio (Dialog, Prompt, Reply, Digressed dialog), puntuaciones de priorización (Value, Effort, Novelty)</t>
  </si>
  <si>
    <t xml:space="preserve">Infraestructura de pruebas para Emely (Blenderbot, Detoxify, Sentence-BERT, NLTK) disponible en GitHub</t>
  </si>
  <si>
    <t xml:space="preserve">A partir de 37 requisitos elicitados y priorizados sobre el modelo de diálogo generativo, se diseñan e implementan 15 casos de prueba automatizados siguiendo cinco estructuras (Q-A, N-gram Counting, Coherence Checks, Toxicity Analysis, Simple Checks) que verifican el cumplimiento de esos requisitos.</t>
  </si>
  <si>
    <t xml:space="preserve">Investigación-acción que elicita y especifica requisitos de calidad para un agente conversacional generativo y diseña/implementa pruebas automatizadas correspondientes, demostrando que detectan diferencias significativas entre versiones del modelo.</t>
  </si>
  <si>
    <t xml:space="preserve">10.1145/3793654.3793746</t>
  </si>
  <si>
    <t xml:space="preserve">REST-at: An LLM-Based Tool for Automating Traceability between Requirements and Test Cases</t>
  </si>
  <si>
    <t xml:space="preserve">https://doi.org/10.1145/3793654.3793746</t>
  </si>
  <si>
    <t xml:space="preserve">Sin estándar de especificación formal; usa patrones de ingeniería de prompts (Chain-of-Thought, Few-Shot, Role-Playing) y plantillas system/user prompt</t>
  </si>
  <si>
    <t xml:space="preserve">Requirement ID, Description, Tested (yes/no), Tested by (IDs de casos de prueba) — campos de la tabla de trazabilidad generada</t>
  </si>
  <si>
    <t xml:space="preserve">REST-at</t>
  </si>
  <si>
    <t xml:space="preserve">Envía cada requisito en lenguaje natural junto con el conjunto completo de casos de prueba de sistema (manuales) a un LLM (GPT-3.5/4, LLAMA3, Mistral, Mixtral), que devuelve los enlaces de trazabilidad requisito-prueba en formato tabular/JSON, evaluando precisión y recall frente a un ground truth.</t>
  </si>
  <si>
    <t xml:space="preserve">Presenta y evalúa REST-at, una herramienta basada en LLMs que automatiza la generación de enlaces de trazabilidad entre requisitos y casos de prueba manuales, comparando 5 modelos y 8 plantillas de prompt en dos datasets, mostrando que modelos open-weight (Mixtral, LLAMA3) igualan o superan a modelos propietarios.</t>
  </si>
  <si>
    <t xml:space="preserve">10.1145/2771783.2771799</t>
  </si>
  <si>
    <t xml:space="preserve">RTCM: A Natural Language Based, Automated, and Practical Test Case Generation Framework</t>
  </si>
  <si>
    <t xml:space="preserve">https://doi.org/10.1145/2771783.2771799</t>
  </si>
  <si>
    <t xml:space="preserve">RUCM (Restricted Use Case Modeling), ISO/IEC/IEEE 29119</t>
  </si>
  <si>
    <t xml:space="preserve">Flujos básico/alternativos, precondiciones, postcondiciones/oráculos, TestSetup, palabras clave de control (IF-THEN-ELSE, VALIDATES THAT, INVOKES API, VERIFIES THAT)</t>
  </si>
  <si>
    <t xml:space="preserve">aToucan4Test (editor RTCM + PITG + PSTG)</t>
  </si>
  <si>
    <t xml:space="preserve">Las especificaciones de prueba (TCS) escritas en RTCM (lenguaje natural restringido derivado de casos de uso/RUCM) se formalizan como instancias de un metamodelo y se transforman automáticamente en casos de prueba ejecutables aplicando criterios de cobertura.</t>
  </si>
  <si>
    <t xml:space="preserve">Propone el lenguaje RTCM y la herramienta aToucan4Test para generar automáticamente casos de prueba ejecutables desde especificaciones en lenguaje natural restringido, validado en casos de estudio industriales de Cisco Systems.</t>
  </si>
  <si>
    <t xml:space="preserve">10.1145/3748522.3780013</t>
  </si>
  <si>
    <t xml:space="preserve">Req2Test: An Approach for the Automatic Generation of Unit Tests from User Stories Using LLMs</t>
  </si>
  <si>
    <t xml:space="preserve">https://doi.org/10.1145/3748522.3780013</t>
  </si>
  <si>
    <t xml:space="preserve">DSL propio en lenguaje natural controlado; ISO/IEC/IEEE 26515 (mencionado); no usa Gherkin/EARS formalmente</t>
  </si>
  <si>
    <t xml:space="preserve">Entidades (Attribute, Type, Validation), reglas de criterios de aceptación (REF.input, REF.output, REF.fields, REF.validation)</t>
  </si>
  <si>
    <t xml:space="preserve">Req2Test Tool</t>
  </si>
  <si>
    <t xml:space="preserve">Las historias de usuario y sus criterios de aceptación se estructuran mediante un DSL propio que alimenta prompts a LLMs, generando directamente pruebas unitarias (entidades, casos de uso, controladores) sin necesidad de código fuente existente.</t>
  </si>
  <si>
    <t xml:space="preserve">Propone Req2Test, un enfoque basado en DSL y LLMs para generar pruebas unitarias desde historias de usuario, validado mediante experimento controlado con 34 participantes, comparación con EvoSuite y evaluación de escalabilidad en QuixBugs.</t>
  </si>
  <si>
    <t xml:space="preserve">10.1109/re.2017.54</t>
  </si>
  <si>
    <t xml:space="preserve">Requirements Capture and Analysis in ASSERT™</t>
  </si>
  <si>
    <t xml:space="preserve">https://doi.org/10.1109/re.2017.54</t>
  </si>
  <si>
    <t xml:space="preserve">SRL (SADL Requirements Language, similar a EARS), OWL/SADL (ontologías)</t>
  </si>
  <si>
    <t xml:space="preserve">Propiedades monitoreadas y controladas, condiciones ("when"), acciones ("shall"), contexto, precondiciones/postcondiciones temporales</t>
  </si>
  <si>
    <t xml:space="preserve">ASSERT™ (SADL/SRL)</t>
  </si>
  <si>
    <t xml:space="preserve">Los requisitos se capturan en el lenguaje controlado SRL basado en ontologías (ASSERT™), se analizan formalmente (ACL2s) y, una vez validados, se usan directamente para generar automáticamente casos y procedimientos de prueba antes de escribir código.</t>
  </si>
  <si>
    <t xml:space="preserve">Presenta la plataforma ASSERT™ que combina un lenguaje de requisitos en inglés controlado basado en ontologías con análisis formal (conflictos, completitud) y generación automática de casos/procedimientos de prueba, aplicada en proyectos reales de GE (19,276 casos de prueba generados en un proyecto de aviónica).</t>
  </si>
  <si>
    <t xml:space="preserve">10.1109/iecon.2015.7392423</t>
  </si>
  <si>
    <t xml:space="preserve">Requirements Engineering of Industrial Automation Systems: Adapting the CESAR Requirements Meta Model for Safety-Critical Smart Grid Software</t>
  </si>
  <si>
    <t xml:space="preserve">https://doi.org/10.1109/iecon.2015.7392423</t>
  </si>
  <si>
    <t xml:space="preserve">CESAR requirements meta-model (RMM), boilerplates, patrones de especificación (RSL tipo EARS), lenguaje natural guiado, IEC 61499, modelo V</t>
  </si>
  <si>
    <t xml:space="preserve">identificador de requisito, descripción, boilerplate, patrón (sujeto/evento/intervalo), enlaces de trazabilidad requisito-componente</t>
  </si>
  <si>
    <t xml:space="preserve">DODT (Domain Ontology-based Dictionary Tool), GNLQ</t>
  </si>
  <si>
    <t xml:space="preserve">Los requisitos formalizados como boilerplates/patrones y enlazados por trazabilidad a bloques del sistema IEC 61499 habilitan la generación automática de casos de prueba y la verificación formal en etapas posteriores del SDLC.</t>
  </si>
  <si>
    <t xml:space="preserve">Adapta el meta-modelo de requisitos CESAR (RMM) para la ingeniería de requisitos de sistemas de automatización industrial safety-critical, ilustrado con un caso de estudio de smart grid (FREEDM).</t>
  </si>
  <si>
    <t xml:space="preserve">10.1016/j.infsof.2019.106194</t>
  </si>
  <si>
    <t xml:space="preserve">Requirements Specification for Developers in Agile Projects: Evaluation by two Industrial Case Studies</t>
  </si>
  <si>
    <t xml:space="preserve">https://doi.org/10.1016/j.infsof.2019.106194</t>
  </si>
  <si>
    <t xml:space="preserve">Enfoque RSD (Requirements Specification for Developers); se compara contra ISO/IEC/IEEE 830 e ISO/IEC/IEEE 29148 en trabajos relacionados</t>
  </si>
  <si>
    <t xml:space="preserve">criterios de aceptación extendidos (AC+: business, validation, interface, technical, non-functional, other), modelado conceptual (entidades), mockups, widgets</t>
  </si>
  <si>
    <t xml:space="preserve">RSD approach (artefactos gestionados con Redmine/MS Word, mockups con Pencil, modelado conceptual con Astah)</t>
  </si>
  <si>
    <t xml:space="preserve">Las pruebas de aceptación se ejecutan manualmente tomando como referencia los criterios de aceptación (AC+) del artefacto RSD; el estudio identifica como necesidad futura una herramienta que genere automáticamente checklists/pruebas a partir de los AC+, pero no la implementa.</t>
  </si>
  <si>
    <t xml:space="preserve">Evaluación empírica mediante dos casos de estudio industriales del enfoque RSD para especificar requisitos en proyectos ágiles, identificando fortalezas (legibilidad, completitud) y limitaciones (trazabilidad manual, reutilización, falta de soporte automatizado).</t>
  </si>
  <si>
    <t xml:space="preserve">10.1109/re59067.2024.00049</t>
  </si>
  <si>
    <t xml:space="preserve">Requirements are All You Need: From Requirements to Code with LLMs</t>
  </si>
  <si>
    <t xml:space="preserve">https://doi.org/10.1109/re59067.2024.00049</t>
  </si>
  <si>
    <t xml:space="preserve">Jerarquía de requisitos con formato EARS para requisitos funcionales; casos de uso como documento estructurado</t>
  </si>
  <si>
    <t xml:space="preserve">Project glossary, vision &amp; scope, casos de uso detallados; requisitos funcionales derivados; diseño orientado a objetos (clases, responsabilidades)</t>
  </si>
  <si>
    <t xml:space="preserve">Software Engineer GPT (GPT personalizado sobre ChatGPT)</t>
  </si>
  <si>
    <t xml:space="preserve">Mediante 'progressive prompting', el LLM recibe casos de uso estructurados, deriva requisitos funcionales, luego un diseño orientado a objetos, y finalmente genera casos de prueba unitarios (JUnit/Mockito) y el código de implementación correspondiente.</t>
  </si>
  <si>
    <t xml:space="preserve">Presenta un LLM personalizado (Software Engineer GPT) que, mediante refinamiento progresivo de requisitos (casos de uso -&gt; requisitos funcionales -&gt; diseño OO -&gt; pruebas -&gt; código), demuestra la generación de pruebas y código a partir de requisitos detallados, validado en un estudio de caso real.</t>
  </si>
  <si>
    <t xml:space="preserve">10.1145/3803633.3803662</t>
  </si>
  <si>
    <t xml:space="preserve">Research on Formal Specification Generation Methods for Airborne Software Testing</t>
  </si>
  <si>
    <t xml:space="preserve">https://doi.org/10.1145/3803633.3803662</t>
  </si>
  <si>
    <t xml:space="preserve">ACSL (ANSI/ISO C Specification Language)</t>
  </si>
  <si>
    <t xml:space="preserve">Variables, restricciones fisicas, aserciones logicas (extraidas del requisito en lenguaje natural)</t>
  </si>
  <si>
    <t xml:space="preserve">Framework LLM+RAG con verificacion Frama-C/WP (sin nombre propio)</t>
  </si>
  <si>
    <t xml:space="preserve">Los requisitos en lenguaje natural se estructuran y, mediante RAG, se generan especificaciones formales ACSL (pre/post-condiciones) que son verificadas automaticamente con Frama-C, funcionando como contratos de verificacion mas que como pruebas TDD tradicionales.</t>
  </si>
  <si>
    <t xml:space="preserve">Propone un framework de circuito cerrado LLM+RAG con retroalimentacion de verificacion Frama-C para generar automaticamente especificaciones formales ACSL a partir de requisitos de software aeronautico, reduciendo significativamente tiempo y tasa de alucinacion frente a metodos manuales o LLM puro.</t>
  </si>
  <si>
    <t xml:space="preserve">10.1145/3625563</t>
  </si>
  <si>
    <t xml:space="preserve">RoboWorld: Verification of Robotic Systems with Environment in the Loop</t>
  </si>
  <si>
    <t xml:space="preserve">https://doi.org/10.1145/3625563</t>
  </si>
  <si>
    <t xml:space="preserve">CNL propio (RoboWorld) definido con Grammatical Framework (GF); no usa EARS/Gherkin/29148</t>
  </si>
  <si>
    <t xml:space="preserve">Supuestos de arena, del robot y de elementos (forma, dimensiones, posición); mapeos de eventos de entrada/salida, operaciones y variables de la plataforma robótica</t>
  </si>
  <si>
    <t xml:space="preserve">RoboWorld + RoboTool (plug-in dentro del framework RoboStar/RoboChart)</t>
  </si>
  <si>
    <t xml:space="preserve">Los supuestos ambientales capturados en RoboWorld (con semántica formal en CyPhyCircus) se usan para filtrar automáticamente, mediante model checking, las trazas de prueba infactibles generadas por mutación de modelos RoboChart, produciendo así casos de prueba realistas del entorno.</t>
  </si>
  <si>
    <t xml:space="preserve">Define RoboWorld, un lenguaje natural controlado con semántica de proceso algebraica híbrida para especificar requisitos operacionales/ambientales de sistemas robóticos, con aplicación demostrada a generación automática de pruebas (eliminación de trazas infactibles) y prueba formal.</t>
  </si>
  <si>
    <t xml:space="preserve">10.5220/0010271202780285</t>
  </si>
  <si>
    <t xml:space="preserve">SRCM: A Semi Formal Requirements Representation Model Enabling System Visualisation and Quality Checking</t>
  </si>
  <si>
    <t xml:space="preserve">https://doi.org/10.5220/0010271202780285</t>
  </si>
  <si>
    <t xml:space="preserve">Extiende el modelo RCM (Requirement Capturing Model) propio; se compara con CNL/EARS en trabajos relacionados</t>
  </si>
  <si>
    <t xml:space="preserve">entidades del sistema, precondiciones (condition/trigger), acciones, fuentes de acción (action sources), tipo/valor y relaciones afectante/afectada de cada entidad</t>
  </si>
  <si>
    <t xml:space="preserve">SRCM (extensión de RCM)</t>
  </si>
  <si>
    <t xml:space="preserve">No aborda generación de pruebas; se centra en construir una representación gráfica unificada de los requisitos y en detectar automáticamente redundancia, ambigüedad, inconsistencia e incompletitud.</t>
  </si>
  <si>
    <t xml:space="preserve">Modelo semi-formal basado en grafos (SRCM) que unifica los requisitos de un sistema capturados con RCM, permitiendo visualización integrada y verificación automática de calidad, ilustrado con un caso de estudio manual de seis requisitos de un ascensor.</t>
  </si>
  <si>
    <t xml:space="preserve">10.1145/3417990.3421264</t>
  </si>
  <si>
    <t xml:space="preserve">Scenarios in the Loop: Integrated Requirements Analysis and Automotive System Validation</t>
  </si>
  <si>
    <t xml:space="preserve">https://doi.org/10.1145/3417990.3421264</t>
  </si>
  <si>
    <t xml:space="preserve">BDD/Gherkin; referencia a ISO 26262 e ISO/SAE 21434</t>
  </si>
  <si>
    <t xml:space="preserve">Feature, Scenario (Given-When-Then), evento disparador, evento solicitado; esqueleto de prueba (test skeleton)</t>
  </si>
  <si>
    <t xml:space="preserve">SCIL / SMLK (Scenario Modeling Language for Kotlin), integrado con Cucumber y ContinoProva</t>
  </si>
  <si>
    <t xml:space="preserve">Los usage scenarios documentados en Gherkin se transforman via Cucumber en esqueletos de prueba que se completan como escenarios SMLK ejecutables (Test-Driven Scenario Specification), usados luego para validacion automatizada de software y sistema.</t>
  </si>
  <si>
    <t xml:space="preserve">Presenta SCIL, un enfoque que integra especificacion de requisitos BDD, modelado de escenarios ejecutables (SMLK) y validacion automatizada multinivel (software/ECU), evaluado mediante una prueba de concepto en el dominio de la movilidad electrica.</t>
  </si>
  <si>
    <t xml:space="preserve">10.1109/dasc-picom-datacom-cyberscitec.2017.98</t>
  </si>
  <si>
    <t xml:space="preserve">Software Security Testing via Misuse Case Modeling</t>
  </si>
  <si>
    <t xml:space="preserve">https://doi.org/10.1109/dasc-picom-datacom-cyberscitec.2017.98</t>
  </si>
  <si>
    <t xml:space="preserve">Plantilla estructurada de casos de uso (Bittner &amp; Spence / Cockburn: actor, goal, precondition, main flow, alternative flow, exception flow, extension points); categorías de amenaza STRIDE</t>
  </si>
  <si>
    <t xml:space="preserve">para casos de uso: actor, goal, precondition, main flow, post-condition, extension points, alternative flow, exception flow; para misuse/mitigation case: nombre, categoría STRIDE, goal, actor, precondiciones, threat point, attack flow, mitigation flow, postcondiciones</t>
  </si>
  <si>
    <t xml:space="preserve">MISTA (generación automática de pruebas de seguridad a partir de redes PrT)</t>
  </si>
  <si>
    <t xml:space="preserve">Construye modelos de amenaza (redes PrT) a partir de las descripciones estructuradas de casos de uso, casos de mal uso y casos de uso de mitigación; MISTA usa estos modelos para generar automáticamente pruebas de seguridad ejecutables cuyo oráculo proviene del flujo de mitigación.</t>
  </si>
  <si>
    <t xml:space="preserve">Metodología estructurada para construir modelos de prueba de seguridad a partir de artefactos de misuse case modeling, validada en dos estudios de caso (FileZilla FTP Server y GPMS) que revelaron vulnerabilidades reales.</t>
  </si>
  <si>
    <t xml:space="preserve">10.5220/0005342102520259</t>
  </si>
  <si>
    <t xml:space="preserve">Supporting the Validation of Structured Analysis Specifications in the Engineering of Information Systems by Test Path Exploration</t>
  </si>
  <si>
    <t xml:space="preserve">https://doi.org/10.5220/0005342102520259</t>
  </si>
  <si>
    <t xml:space="preserve">Structured Analysis (DeMarco), Data Flow Diagrams (DFD), Data Dictionary</t>
  </si>
  <si>
    <t xml:space="preserve">Procesos, flujos de datos, mini-especificaciones (pre/post-condiciones), rutas de prueba (test paths)</t>
  </si>
  <si>
    <t xml:space="preserve">Transforma especificaciones de Análisis Estructurado (DFDs y mini-specs) en un grafo intermedio (Information Transfer Graph) para explorar automáticamente rutas de prueba que sirven de base para definir casos de prueba abstractos y guiar revisiones.</t>
  </si>
  <si>
    <t xml:space="preserve">Propone una técnica automatizable para explorar rutas de prueba en especificaciones semi-formales de Análisis Estructurado, útil como base de casos de prueba y para estructurar revisiones de requisitos.</t>
  </si>
  <si>
    <t xml:space="preserve">Test Automation for Industrial Programmable Logic Controller Software: From Requirements to Executable Tests</t>
  </si>
  <si>
    <t xml:space="preserve">https://scholar.google.com/scholar?q=Test%20Automation%20for%20Industrial%20Programmable%20Logic%20Controller%20Software%3A%20From%20Requirements%20to%20Executable%20Tests</t>
  </si>
  <si>
    <t xml:space="preserve">EARS (Easy Approach to Requirements Syntax), IEC 61131-3</t>
  </si>
  <si>
    <t xml:space="preserve">Notación EARS para requisitos semi-formales (disparador/condición/acción), aserciones de verificación, bloques funcionales (Function Block Diagrams)</t>
  </si>
  <si>
    <t xml:space="preserve">PyLC+ (traducción PLC-a-Python y verificación con Nagini), PyLC-M1 (LLM asistente de test automation)</t>
  </si>
  <si>
    <t xml:space="preserve">Investiga empíricamente (experimento controlado) la aplicabilidad de la notación semi-formal EARS para testing basado en especificación en programas PLC, y además traduce programas PLC a Python verificable, usando algoritmos metaheurísticos y un LLM de dominio específico para generar pruebas/arneses de verificación.</t>
  </si>
  <si>
    <t xml:space="preserve">Tesis doctoral que propone soluciones de automatización de pruebas para PLC: selección de framework de test automation, traducción y verificación automática PLC-a-Python (PyLC+), un LLM asistente de pruebas (PyLC-M1), y un estudio empírico sobre EARS para testing basado en especificación, evaluados en casos industriales reales (ABB, Alstom).</t>
  </si>
  <si>
    <t xml:space="preserve">10.1109/models-c.2019.00009</t>
  </si>
  <si>
    <t xml:space="preserve">Test-Driven Scenario Specification of Automotive Software Components</t>
  </si>
  <si>
    <t xml:space="preserve">https://doi.org/10.1109/models-c.2019.00009</t>
  </si>
  <si>
    <t xml:space="preserve">Test-Driven Development (TDD), MARS (MTest Assessable Requirements Syntax), ASPICE, ISO 26262, SMLK (basado en Behavioral Programming y Live Sequence Charts)</t>
  </si>
  <si>
    <t xml:space="preserve">identificador de requisito, escenario (evento/condición/acción), escenario de prueba (JUnit), evento prohibido/interrumpible</t>
  </si>
  <si>
    <t xml:space="preserve">SMLK (Scenario Modeling Language for Kotlin) + JUnit; proceso TDSS</t>
  </si>
  <si>
    <t xml:space="preserve">Cada requisito se formaliza como un escenario ejecutable en SMLK y se valida mediante un caso de prueba JUnit escrito antes que la especificación (estilo TDD), detectando inconsistencias entre requisitos antes de la implementación.</t>
  </si>
  <si>
    <t xml:space="preserve">Propone TDSS, un proceso que combina la especificación de requisitos mediante escenarios ejecutables con TDD, validado en un caso real de la industria automotriz (OBC de un proveedor tier-1).</t>
  </si>
  <si>
    <t xml:space="preserve">10.1145/2897022.2897031</t>
  </si>
  <si>
    <t xml:space="preserve">TestMEReq: Generating Abstract Tests for Requirements Validation</t>
  </si>
  <si>
    <t xml:space="preserve">https://doi.org/10.1145/2897022.2897031</t>
  </si>
  <si>
    <t xml:space="preserve">Essential Use Cases (EUC) y Essential User Interface (EUI) de Constantine &amp; Lockwood</t>
  </si>
  <si>
    <t xml:space="preserve">ID de caso de prueba, requisitos de prueba, descripción de prueba, precondición, pasos, resultado esperado; interacción usuario-sistema (input/output) del EUC</t>
  </si>
  <si>
    <t xml:space="preserve">TestMEReq</t>
  </si>
  <si>
    <t xml:space="preserve">A partir de requisitos en lenguaje natural se generan modelos EUC/EUI semi-formales, de los cuales se derivan automáticamente requisitos de prueba y casos de prueba abstractos, junto con un prototipo de interfaz, con trazabilidad completa hasta el texto original.</t>
  </si>
  <si>
    <t xml:space="preserve">Herramienta automatizada (TestMEReq) que genera pruebas abstractas y prototipos de UI desde modelos EUC/EUI para validar requisitos tempranamente, evaluada en precisión (~84% en 15 sistemas), con revisión de expertos y estudio de usabilidad con 79 estudiantes.</t>
  </si>
  <si>
    <t xml:space="preserve">10.1145/3531706.3536463</t>
  </si>
  <si>
    <t xml:space="preserve">Towards a Domain-Specific Language to Specify Interaction Scenarios for Web-Based Graphical User Interfaces</t>
  </si>
  <si>
    <t xml:space="preserve">https://doi.org/10.1145/3531706.3536463</t>
  </si>
  <si>
    <t xml:space="preserve">Gherkin (sintaxis BDD), plantilla Given-When-Then / Behaviour-Driven Development (BDD)</t>
  </si>
  <si>
    <t xml:space="preserve">Entidades (widgets), acciones, estados y propiedades de cada elemento de interacción</t>
  </si>
  <si>
    <t xml:space="preserve">DSL-BDD (implementada con Xtext sobre Eclipse), repositorio trsilva/DSL-BDD</t>
  </si>
  <si>
    <t xml:space="preserve">Define una DSL basada en Gherkin/BDD con vocabulario controlado (acciones/estados/propiedades de 40 widgets web) para especificar escenarios de interacción como requisitos de usuario consistentes y verificables en tiempo de edición, sentando la base (según trabajo previo del autor) para la verificación automatizada de consistencia entre requisitos BDD y artefactos de GUI/pruebas.</t>
  </si>
  <si>
    <t xml:space="preserve">Propone una DSL de alto nivel basada en BDD/Gherkin, con un entorno de edición enriquecido, que impone restricciones de consistencia (acciones/estados/propiedades válidos por tipo de widget) en la especificación de escenarios de interacción como requisitos de usuario para interfaces web.</t>
  </si>
  <si>
    <t xml:space="preserve">10.1145/3472672.3473956</t>
  </si>
  <si>
    <t xml:space="preserve">Towards a Workflow for Model-Based Testing of Embedded Systems</t>
  </si>
  <si>
    <t xml:space="preserve">https://doi.org/10.1145/3472672.3473956</t>
  </si>
  <si>
    <t xml:space="preserve">Gherkin (formato Given-When-Then, adaptado a Given-Then-Within), BDD</t>
  </si>
  <si>
    <t xml:space="preserve">Precondición, disparador (trigger), respuesta del sistema, restricción temporal, variables de estado</t>
  </si>
  <si>
    <t xml:space="preserve">TIGER (Model-Based Test scrIpt GenEration fRamework) + GraphWalker + editor DSL basado en Xtext</t>
  </si>
  <si>
    <t xml:space="preserve">Los requisitos especificados en un DSL tipo Gherkin se transforman en un modelo FSM del sistema, del cual GraphWalker genera casos de prueba abstractos que luego se convierten en scripts de prueba concretos y ejecutables.</t>
  </si>
  <si>
    <t xml:space="preserve">Propone un flujo de trabajo MBT de tres fases, desde la especificación de requisitos en un DSL tipo Gherkin hasta la generación y ejecución de scripts de prueba, validado en un caso de estudio industrial ferroviario (Alstom Transport).</t>
  </si>
  <si>
    <t xml:space="preserve">10.1109/rew.2017.39</t>
  </si>
  <si>
    <t xml:space="preserve">Towards the Generation of End-to-End Web Test Scripts from Requirements Specifications</t>
  </si>
  <si>
    <t xml:space="preserve">https://doi.org/10.1109/rew.2017.39</t>
  </si>
  <si>
    <t xml:space="preserve">Plantilla de casos de uso de Cockburn, UML (máquinas de estado, diagramas de clases), OCL</t>
  </si>
  <si>
    <t xml:space="preserve">Precondiciones, postcondiciones, actores, interacciones, efectos, continuación, mockups de pantalla, glosario (datos, atributos, operaciones)</t>
  </si>
  <si>
    <t xml:space="preserve">Prototipo basado en transformaciones ATL (Text2UML/UML2Text) y Acceleo (UML2Test), generando pruebas Selenium WebDriver</t>
  </si>
  <si>
    <t xml:space="preserve">Casos de uso textuales (plantilla Cockburn) con mockups de pantalla y glosario se transforman en máquinas de estado UML, y estas a su vez se transforman automáticamente en scripts de prueba End-to-End ejecutables (Selenium) que cubren cada camino del caso de uso.</t>
  </si>
  <si>
    <t xml:space="preserve">Propone un enfoque de transformaciones automatizadas (textual/UML sincronizados) para generar scripts de prueba End-to-End completamente alineados con especificaciones de requisitos de aplicaciones web, ilustrado con el ejemplo PhoneBook; la implementación y evaluación empírica quedan como trabajo futuro.</t>
  </si>
  <si>
    <t xml:space="preserve">10.1109/cascon66301.2025.00084</t>
  </si>
  <si>
    <t xml:space="preserve">User Acceptance Test case Generation using LLMs</t>
  </si>
  <si>
    <t xml:space="preserve">https://doi.org/10.1109/cascon66301.2025.00084</t>
  </si>
  <si>
    <t xml:space="preserve">Documentos SRS en lenguaje natural (dataset PURE), sin un estándar formal de especificación estructurada</t>
  </si>
  <si>
    <t xml:space="preserve">requisitos funcionales y no funcionales (secciones de la SRS)</t>
  </si>
  <si>
    <t xml:space="preserve">Framework zero-shot con los LLMs Gemma, LLaMA3, Mistral, Phi y Qwen (vía Ollama)</t>
  </si>
  <si>
    <t xml:space="preserve">Extrae el texto de documentos SRS y usa LLMs en modo zero-shot con prompts auto-optimizados para generar directamente casos de prueba de aceptación de usuario (UAT), evaluando su calidad semántica, diversidad y cobertura de requisitos.</t>
  </si>
  <si>
    <t xml:space="preserve">Evalúa comparativamente cinco LLMs open-weight en un framework zero-shot para la generación automática de casos de prueba de aceptación de usuario a partir de documentos SRS no estructurados.</t>
  </si>
  <si>
    <t xml:space="preserve">10.1145/2897667.2897668</t>
  </si>
  <si>
    <t xml:space="preserve">Validating Formal Specifications using Testing-Based Specification Animation</t>
  </si>
  <si>
    <t xml:space="preserve">https://doi.org/10.1145/2897667.2897668</t>
  </si>
  <si>
    <t xml:space="preserve">SOFL (Structured Object-Oriented Formal Language); requisitos informales estructurados como (Functions, Data Resources, Constraints)</t>
  </si>
  <si>
    <t xml:space="preserve">Pre-condicion, post-condicion, variables externas, escenarios funcionales; Functions, Data Resources, Constraints de los requisitos informales</t>
  </si>
  <si>
    <t xml:space="preserve">Herramienta de animacion SOFL (desarrollada por Mo Li)</t>
  </si>
  <si>
    <t xml:space="preserve">Genera casos de prueba tanto a partir de la estructura de la especificacion formal (escenarios funcionales de pre/post-condiciones) como de los requisitos informales estructurados (funciones, recursos de datos, restricciones) para animar y validar visualmente la especificacion.</t>
  </si>
  <si>
    <t xml:space="preserve">Propone criterios de generacion de casos de prueba y una tecnica de animacion con soporte de herramienta para validar especificaciones formales SOFL sin traduccion a codigo, evaluada en un experimento controlado pequeño con mayor tasa de deteccion de fallos que la revision manual.</t>
  </si>
  <si>
    <t xml:space="preserve">10.1007/s10664-020-09815-w</t>
  </si>
  <si>
    <t xml:space="preserve">What am I testing and where? Comparing testing procedures based on lightweight requirements annotations</t>
  </si>
  <si>
    <t xml:space="preserve">https://doi.org/10.1007/s10664-020-09815-w</t>
  </si>
  <si>
    <t xml:space="preserve">Lenguaje de marcado ligero propio (inspirado en EARS de Mavin et al.), no es un estándar formal</t>
  </si>
  <si>
    <t xml:space="preserve">Nivel Alcance (System/Environment), Tipo (Value/State/Event), Condición, Causalidad (Trigger/Pre-Condition/Action)</t>
  </si>
  <si>
    <t xml:space="preserve">Prototipo de herramienta de anotación (sin nombre propio) + lenguaje de marcado multinivel</t>
  </si>
  <si>
    <t xml:space="preserve">Anota requisitos en lenguaje natural con marcas ligeras vinculadas a señales de ejecuciones de prueba (simulación y conducción real), permitiendo evaluar cobertura y cumplimiento de requisitos por etapa de prueba, aunque no genera pruebas automáticamente.</t>
  </si>
  <si>
    <t xml:space="preserve">Propone un lenguaje de marcado ligero multinivel que vincula requisitos en NL con datos de ejecución de pruebas, permitiendo comparar similitud, cumplimiento y alineación entre distintas etapas de prueba (simulación vs. conducción real), validado con 443 requisitos y más de 1300 ejecuciones.</t>
  </si>
  <si>
    <t xml:space="preserve">10.1007/978-3-319-35122-3_7</t>
  </si>
  <si>
    <t xml:space="preserve">A Practical Use Case Modeling Approach to Specify Crosscutting Concerns</t>
  </si>
  <si>
    <t xml:space="preserve">https://doi.org/10.1007/978-3-319-35122-3_7</t>
  </si>
  <si>
    <t xml:space="preserve">RUCM (Restricted Use Case Modeling), plantilla de casos de uso, UML use case diagrams, UCMeta</t>
  </si>
  <si>
    <t xml:space="preserve">Nombre, breve descripcion, precondicion, actor primario, actores secundarios, dependencia, generalizacion, flujo basico, flujos alternativos, postcondicion</t>
  </si>
  <si>
    <t xml:space="preserve">AspectRUCM (perfil UML + weaver); Zen-RUCM/aToucan (RTCM)</t>
  </si>
  <si>
    <t xml:space="preserve">RUCM/UCMeta formaliza las especificaciones de casos de uso para habilitar analisis automatizado y generacion de casos de prueba (RTCM to aToucan4Test).</t>
  </si>
  <si>
    <t xml:space="preserve">Extiende RUCM (AspectRUCM) para modelar concerns transversales en casos de uso, reduciendo &gt;80% el esfuerzo de modelado en 3 aplicaciones reales.</t>
  </si>
  <si>
    <t xml:space="preserve">10.1007/978-981-95-4213-0_11</t>
  </si>
  <si>
    <t xml:space="preserve">A Test-Driven Approach for Refining Use Case Specifications of Software Requirements with LLMs</t>
  </si>
  <si>
    <t xml:space="preserve">https://doi.org/10.1007/978-981-95-4213-0_11</t>
  </si>
  <si>
    <t xml:space="preserve">Plantilla UML de especificación de casos de uso + formato estructurado propio &lt;Pre-condiciones, actor, acción, objeto de negocio, [to-actor], [Post-condiciones]&gt;</t>
  </si>
  <si>
    <t xml:space="preserve">Flujo básico/alternativo/excepción, pre/post-condiciones, actores, pasos estructurados como tuplas</t>
  </si>
  <si>
    <t xml:space="preserve">GPT-4 (y Deepseek como comparación); dataset PURE (proyectos KeePass y GAMMA-J Web Store); comparación con TestSonic</t>
  </si>
  <si>
    <t xml:space="preserve">Usa LLMs para transformar requisitos en lenguaje natural en especificaciones de casos de uso estructuradas UML, generar automáticamente casos de prueba de cobertura completa (flujo básico+alternativo) y retroalimentar los casos de uso con nuevos casos de prueba en un bucle tipo TDD.</t>
  </si>
  <si>
    <t xml:space="preserve">Framework basado en LLMs con bucle de retroalimentación bidireccional entre casos de uso y casos de prueba; evaluado con ingenieros de distinta experiencia, mostrando mejoras de calidad (según ISO 29148) y eficiencia (5-10x) frente al método manual.</t>
  </si>
  <si>
    <t xml:space="preserve">10.1145/2723742.2723761</t>
  </si>
  <si>
    <t xml:space="preserve">An Approach of Generating Test Requirements for Agile Software Development</t>
  </si>
  <si>
    <t xml:space="preserve">https://doi.org/10.1145/2723742.2723761</t>
  </si>
  <si>
    <t xml:space="preserve">Plantilla UML de especificación de casos de uso (actor primario/secundario, flujos principal/alterno/excepcional, precondición/postcondición, prioridad); sin RUCM formal</t>
  </si>
  <si>
    <t xml:space="preserve">Especificaciones textuales de casos de uso con flujos principales, alternos y excepcionales, y campo de prioridad del cliente</t>
  </si>
  <si>
    <t xml:space="preserve">- (enfoque manual/algorítmico sin herramienta automatizada); ejemplos ilustrativos FRIEND (gestión de emergencias) y sistema ATM</t>
  </si>
  <si>
    <t xml:space="preserve">Transforma especificaciones de casos de uso en diagramas de actividad orientados a actor y deriva de ellos secuencias de prueba priorizadas por complejidad para guiar el desarrollo incremental en TDD.</t>
  </si>
  <si>
    <t xml:space="preserve">Propone un criterio de priorización de secuencias de prueba orientado específicamente a TDD (de menor a mayor complejidad), comparado cuantitativamente con enfoques previos de generación de pruebas basados en casos de uso (Briand et al., Fröhlich et al., Ryser et al.).</t>
  </si>
  <si>
    <t xml:space="preserve">10.1109/tse.2020.2998503</t>
  </si>
  <si>
    <t xml:space="preserve">Automatic Generation of Acceptance Test Cases From Use Case Specifications: An NLP-Based Approach</t>
  </si>
  <si>
    <t xml:space="preserve">https://doi.org/10.1109/tse.2020.2998503</t>
  </si>
  <si>
    <t xml:space="preserve">RUCM (Restricted Use Case Modeling), OCL (Object Constraint Language)</t>
  </si>
  <si>
    <t xml:space="preserve">especificaciones de casos de uso (actores, flujos básicos/alternativos, pre/postcondiciones), modelo de dominio (diagrama de clases UML)</t>
  </si>
  <si>
    <t xml:space="preserve">Herramienta UMTG (plug-in para IBM DOORS y Eclipse); casos de estudio industriales BodySense y otro sistema automotriz de IEE S.A.</t>
  </si>
  <si>
    <t xml:space="preserve">Usa NLP (SRL, VerbNet, WordNet) para extraer modelos de prueba (UCTM) y generar automáticamente restricciones OCL a partir de especificaciones de casos de uso RUCM, resolviendo dichas restricciones con Alloy para producir datos de prueba y casos de prueba ejecutables de aceptación.</t>
  </si>
  <si>
    <t xml:space="preserve">Presenta UMTG, un enfoque maduro y validado industrialmente que genera automáticamente casos de prueba de aceptación ejecutables a partir de especificaciones de casos de uso en lenguaje natural sin necesidad de modelado conductual adicional, logrando 95% de generación correcta de restricciones OCL.</t>
  </si>
  <si>
    <t xml:space="preserve">10.1145/2771783.2771812</t>
  </si>
  <si>
    <t xml:space="preserve">Automatic Generation of System Test Cases from Use Case Specifications (UMTG)</t>
  </si>
  <si>
    <t xml:space="preserve">https://doi.org/10.1145/2771783.2771812</t>
  </si>
  <si>
    <t xml:space="preserve">RUCM extendido con la palabra clave 'SENDS...TO' para interacciones sistema-actor; restricciones formalizadas con OCL sobre el modelo de dominio</t>
  </si>
  <si>
    <t xml:space="preserve">Precondición, flujo básico, flujos alternativos (específico/acotado/global), postcondición, restricciones OCL de guarda</t>
  </si>
  <si>
    <t xml:space="preserve">UMTG (pipeline NLP con GATE) + solver de restricciones OCL; caso de estudio industrial BodySense (IEE, dominio automotriz de seguridad crítica)</t>
  </si>
  <si>
    <t xml:space="preserve">Genera automáticamente un Use Case Test Model y, a partir de él, casos de prueba de sistema ejecutables (entradas y oráculos) mediante resolución de restricciones OCL, sin requerir modelado de comportamiento adicional.</t>
  </si>
  <si>
    <t xml:space="preserve">Enfoque NLP+OCL (UMTG) que genera automáticamente casos de prueba ejecutables desde especificaciones RUCM de casos de uso y un modelo de dominio, validado en un caso industrial automotriz crítico, cubriendo más escenarios que las pruebas manuales.</t>
  </si>
  <si>
    <t xml:space="preserve">10.18653/v1/n19-2017</t>
  </si>
  <si>
    <t xml:space="preserve">Extraction of Message Sequence Charts from Software Use-Case Descriptions</t>
  </si>
  <si>
    <t xml:space="preserve">https://doi.org/10.18653/v1/n19-2017</t>
  </si>
  <si>
    <t xml:space="preserve">Sin plantilla restringida formal; casos de uso como secuencia numerada de pasos de flujo principal y flujos alternativos en lenguaje natural libre</t>
  </si>
  <si>
    <t xml:space="preserve">Actores, mensajes (emisor/receptor/etiqueta), condiciones, timers, alt-boxes</t>
  </si>
  <si>
    <t xml:space="preserve">Pipeline propio basado en OpenIE + WordNet + Stanford CoreNLP; datasets AGV, G6, G16, EMS (PURE) y TRAIN (industrial)</t>
  </si>
  <si>
    <t xml:space="preserve">El artículo señala explícitamente que la generación de esquemas de casos de prueba a partir de los MSC extraídos queda como trabajo futuro; en este estudio se produce un modelo de comportamiento formal (MSC) a partir de casos de uso, precursor de la generación de pruebas.</t>
  </si>
  <si>
    <t xml:space="preserve">Enfoque basado en OpenIE y conocimiento lingüístico (WordNet, dependencias) para extraer MSC —incluyendo timers, condiciones y alt-boxes— desde descripciones de casos de uso en lenguaje natural sin restricciones, superando una línea base existente en 5 casos de uso reales.</t>
  </si>
  <si>
    <t xml:space="preserve">10.1109/ieeeconf51154.2020.9319979</t>
  </si>
  <si>
    <t xml:space="preserve">Generating Test Sequences from UML Use Case Diagram: A Case Study</t>
  </si>
  <si>
    <t xml:space="preserve">https://doi.org/10.1109/ieeeconf51154.2020.9319979</t>
  </si>
  <si>
    <t xml:space="preserve">UML (diagramas de casos de uso y de actividad)</t>
  </si>
  <si>
    <t xml:space="preserve">actores, casos de uso, relaciones include/extend, secuencias de actividades</t>
  </si>
  <si>
    <t xml:space="preserve">Caso de estudio Online-Shopping (sistema de e-commerce de referencia)</t>
  </si>
  <si>
    <t xml:space="preserve">Convierte diagramas de casos de uso UML en diagramas y grafos de actividad por actor para derivar manualmente secuencias de prueba (test sequences).</t>
  </si>
  <si>
    <t xml:space="preserve">Ilustra mediante un caso de estudio detallado cómo aplicar un enfoque previo de generación de secuencias de prueba a partir de casos de uso UML, mostrando el proceso paso a paso.</t>
  </si>
  <si>
    <t xml:space="preserve">10.1109/dsn-w.2017.33</t>
  </si>
  <si>
    <t xml:space="preserve">MARITACA: from textual use case descriptions to behavior models</t>
  </si>
  <si>
    <t xml:space="preserve">https://doi.org/10.1109/dsn-w.2017.33</t>
  </si>
  <si>
    <t xml:space="preserve">RUCM (Restricted Use Case Modeling), extendido con reglas propias para manejo de excepciones y variabilidad de líneas de producto</t>
  </si>
  <si>
    <t xml:space="preserve">Casos de uso semiestructurados (pre/post-condiciones, flujo básico, alternativo, excepcional, variación), Traceability Matrix y Product Map</t>
  </si>
  <si>
    <t xml:space="preserve">MARITACA (prototipo basado en NLP/POS-tagging) para extracción de máquinas de estado; caso de estudio del horno microondas (product line)</t>
  </si>
  <si>
    <t xml:space="preserve">El modelo de estados extraído es 'tool-agnostic' pero se concibe como entrada preliminar para generadores de casos de prueba (p.ej. Parteg), vía notación SMC.</t>
  </si>
  <si>
    <t xml:space="preserve">Propone reglas de extracción y un prototipo NLP que transforma casos de uso semiestructurados en máquinas de estado, precursoras de modelos de prueba, validado mediante comparación manual/automática en un estudio de caso de línea de productos.</t>
  </si>
  <si>
    <t xml:space="preserve">10.1109/icse-companion.2019.00037</t>
  </si>
  <si>
    <t xml:space="preserve">MCP: A Security Testing Tool Driven by Requirements</t>
  </si>
  <si>
    <t xml:space="preserve">https://doi.org/10.1109/icse-companion.2019.00037</t>
  </si>
  <si>
    <t xml:space="preserve">RMCM (Restricted Misuse Case Modeling), extensión de RUCM</t>
  </si>
  <si>
    <t xml:space="preserve">Especificaciones de casos de mal uso (misuse cases) en lenguaje natural con keywords de control de flujo; API de driver de pruebas</t>
  </si>
  <si>
    <t xml:space="preserve">MCP (herramienta Java); caso industrial EDLAH2 (sistema de salud de la UE, 68 misuse cases, 12 evaluados)</t>
  </si>
  <si>
    <t xml:space="preserve">Genera automáticamente casos de prueba de seguridad ejecutables (Python) a partir de especificaciones de casos de mal uso mediante NLP y matching con una API de prueba.</t>
  </si>
  <si>
    <t xml:space="preserve">Demuestra viabilidad de generar pruebas ejecutables de seguridad desde requisitos NL estructurados, con precisión 0.97 y recall 0.91 en la identificación de entradas, y detección de 9/12 vulnerabilidades reales en un caso industrial.</t>
  </si>
  <si>
    <t xml:space="preserve">10.1145/3350768.3350790</t>
  </si>
  <si>
    <t xml:space="preserve">Reducing the Discard of MBT Test Cases using Distance Functions</t>
  </si>
  <si>
    <t xml:space="preserve">https://doi.org/10.1145/3350768.3350790</t>
  </si>
  <si>
    <t xml:space="preserve">CLARET (DSL para especificación de casos de uso en lenguaje natural estructurado) + LTS-BT para MBT</t>
  </si>
  <si>
    <t xml:space="preserve">Casos de uso CLARET (flujo básico, excepciones), pares de versiones editadas, pasos de tests MBT generados</t>
  </si>
  <si>
    <t xml:space="preserve">CLARET + LTS-BT; 10 funciones de distancia de cadenas (Levenshtein, Jaccard, Jaro-Winkler, etc.); sistemas industriales SAFF, BZC y TCOM</t>
  </si>
  <si>
    <t xml:space="preserve">Usa la especificación estructurada de casos de uso (CLARET) como fuente de generación de suites MBT y estudia cómo clasificar ediciones de esos casos de uso para reducir el descarte de las pruebas generadas automáticamente.</t>
  </si>
  <si>
    <t xml:space="preserve">Estudio empírico industrial que muestra que las funciones de distancia clasifican eficazmente ediciones de bajo/alto impacto en casos de uso, reduciendo el descarte de pruebas MBT en al menos 15%.</t>
  </si>
  <si>
    <t xml:space="preserve">10.1016/j.jss.2018.06.075</t>
  </si>
  <si>
    <t xml:space="preserve">Specifying Uncertainty in Use Case Models</t>
  </si>
  <si>
    <t xml:space="preserve">https://doi.org/10.1016/j.jss.2018.06.075</t>
  </si>
  <si>
    <t xml:space="preserve">U-RUCM, extensión formal de RUCM con plantillas BUCS/Belief Sentence y 42 reglas de restricción (UR1-UR42)</t>
  </si>
  <si>
    <t xml:space="preserve">Casos de uso con incertidumbre: belief agent, time point/duration, belief degree, indeterminacy source, evidence, measurement, tipo/riesgo/patrón de incertidumbre</t>
  </si>
  <si>
    <t xml:space="preserve">Editor/herramienta U-RUCM; metamodelo BeliefUCMeta (formalizado en MOF/OCL); dos estudios de caso industriales CPS (proyecto EU H2020, ULMA e Ikerlan)</t>
  </si>
  <si>
    <t xml:space="preserve">El objetivo explícito (aunque no desarrollado en este artículo) es usar los casos de uso con incertidumbre como punto de partida para crear modelos 'test-ready' que soporten pruebas automatizadas basadas en modelos (MBT) de CPS bajo incertidumbre.</t>
  </si>
  <si>
    <t xml:space="preserve">Extiende RUCM para especificar y cuantificar incertidumbre en requisitos mediante U-RUCM, evaluado en dos estudios de caso industriales de CPS, logrando identificar 306% y 512% más requisitos de incertidumbre que con RUCM base.</t>
  </si>
  <si>
    <t xml:space="preserve">10.1007/s13198-025-03025-7</t>
  </si>
  <si>
    <t xml:space="preserve">TCG: an approach to improving test-driven development by exploiting use case specifications</t>
  </si>
  <si>
    <t xml:space="preserve">https://doi.org/10.1007/s13198-025-03025-7</t>
  </si>
  <si>
    <t xml:space="preserve">Casos de uso en formato Cockburn</t>
  </si>
  <si>
    <t xml:space="preserve">nombre, objetivo, actores, precondiciones, postcondiciones, invariantes, escenario de éxito principal, variaciones, extensiones, casos de uso incluidos</t>
  </si>
  <si>
    <t xml:space="preserve">Herramienta TCG (código abierto en GitHub); 5 sistemas desarrollados en el Software Engineering Lab de Phenikaa University (E-commerce, Online Banking, Ride-Sharing, Supply Chain, Mobile Payment)</t>
  </si>
  <si>
    <t xml:space="preserve">Convierte especificaciones de casos de uso Cockburn en grafos de flujo de control (CFG), genera rutas de prueba con DFS y las optimiza con un algoritmo genético, integrando el proceso directamente en el ciclo TDD.</t>
  </si>
  <si>
    <t xml:space="preserve">Presenta TCG, un enfoque y herramienta que automatizan la generación y optimización de casos de prueba a partir de especificaciones de casos de uso, demostrando estadísticamente (pruebas t pareadas, d de Cohen) reducciones de tiempo y mejoras de cobertura frente al enfoque manual en 5 proyectos.</t>
  </si>
  <si>
    <t xml:space="preserve">10.1145/2786805.2803187</t>
  </si>
  <si>
    <t xml:space="preserve">UMTG: A Toolset to Automatically Generate System Test Cases from Use Case Specifications</t>
  </si>
  <si>
    <t xml:space="preserve">https://doi.org/10.1145/2786805.2803187</t>
  </si>
  <si>
    <t xml:space="preserve">RUCM (Restricted Use Case Modeling); OCL (Object Constraint Language)</t>
  </si>
  <si>
    <t xml:space="preserve">Especificaciones de casos de uso restringidos (RUCM), modelo de dominio (Rhapsody), restricciones OCL sobre pre-, post- y guard-condiciones</t>
  </si>
  <si>
    <t xml:space="preserve">UMTG (plug-ins IBM Doors/Rhapsody); caso industrial BodySense (IEE, sensor automotriz, 6 especificaciones de caso de uso)</t>
  </si>
  <si>
    <t xml:space="preserve">Genera automáticamente casos de prueba de sistema ejecutables y trazables a partir de especificaciones de casos de uso mediante NLP para extraer el flujo de control y un solver OCL para generar datos de prueba.</t>
  </si>
  <si>
    <t xml:space="preserve">Evidencia que la generación automática desde casos de uso RUCM cubre más escenarios (100 vs 80) que las suites de prueba manuales, con esfuerzo de modelado aceptable (53 restricciones OCL) en un sistema industrial real.</t>
  </si>
  <si>
    <t xml:space="preserve">10.18293/seke2022-176</t>
  </si>
  <si>
    <t xml:space="preserve">A Node-Merging based Approach for Generating iStar Models from User Stories</t>
  </si>
  <si>
    <t xml:space="preserve">https://doi.org/10.18293/seke2022-176</t>
  </si>
  <si>
    <t xml:space="preserve">Patrón de historia de usuario de Cohn ("As a... I want... so that"); lenguaje iStar 2.0; modelo BERT (fine-tuned con STSbenchmark)</t>
  </si>
  <si>
    <t xml:space="preserve">Role (who), Intention/Goal-Task (what/why), Quality (NFR); relaciones means-ends, refinement, contribution</t>
  </si>
  <si>
    <t xml:space="preserve">Enfoque de fusión de nodos (node-merging) basado en BERT; evaluado con 3 datasets (GA, WebCompany, BADcamp) y ejemplo de caso Book Factory</t>
  </si>
  <si>
    <t xml:space="preserve">No genera pruebas de software directamente; deriva modelos de metas (iStar) estructurados a partir de historias de usuario semi-estructuradas, que podrían servir como artefacto intermedio previo a la especificación y generación de pruebas.</t>
  </si>
  <si>
    <t xml:space="preserve">Propone un método de identificación y fusión de nodos (basado en similitud BERT) para generar automáticamente modelos iStar a partir de historias de usuario, evaluado en 3 datasets de distintos dominios con precisión/recall/F1 (nodos de calidad: ~76.5%/73.3%/72.1%; pares similares: ~77.1%/75.6%/73.4%).</t>
  </si>
  <si>
    <t xml:space="preserve">10.1111/exsy.12608</t>
  </si>
  <si>
    <t xml:space="preserve">Automating test oracles from restricted natural language agile requirements</t>
  </si>
  <si>
    <t xml:space="preserve">https://doi.org/10.1111/exsy.12608</t>
  </si>
  <si>
    <t xml:space="preserve">Plantilla Connextra extendida con restricciones de lenguaje natural (delimitadores 'As a'/'I want'/'so that'/'will|shall|should' y datos entre comillas simples)</t>
  </si>
  <si>
    <t xml:space="preserve">tipo de usuario, goal (con datos de prueba entrecomillados), so that/beneficio (con salida esperada entrecomillada), verbo modal will/shall/should</t>
  </si>
  <si>
    <t xml:space="preserve">ReNaLART, prototipo en Java validado en 8 estudios de caso reales (OLX Pakistan, Mental Health Tests, McDelivery Pakistan, BlueStacks, Power Searching with Google, TensorFlow Playground, w3Schools 2018 offline, Touch'D)</t>
  </si>
  <si>
    <t xml:space="preserve">Genera automáticamente datos de prueba y salida esperada directamente desde HU escritas en una plantilla de lenguaje natural restringido, y asigna veredictos de prueba (pass/fail/warning/inconclusive) mediante patrones regex y funciones de distancia de cadenas, automatizando por completo el oráculo de prueba.</t>
  </si>
  <si>
    <t xml:space="preserve">Propone ReNaLART, un enfoque de extremo a extremo que automatiza la generación de datos de prueba, salida esperada y el oráculo de prueba a partir de HU en lenguaje natural restringido, validado en 8 aplicaciones/webs reales, revelando fallos previamente no reportados y con tiempos de ejecución de ~0.02s por HU.</t>
  </si>
  <si>
    <t xml:space="preserve">10.1007/978-3-319-91602-6_1</t>
  </si>
  <si>
    <t xml:space="preserve">Cosmic User Story Standard</t>
  </si>
  <si>
    <t xml:space="preserve">https://doi.org/10.1007/978-3-319-91602-6_1</t>
  </si>
  <si>
    <t xml:space="preserve">Plantilla tradicional de historia de usuario (Cohn); COSMIC Measurement Manual; guía COSMIC para proyectos ágiles; plantilla propuesta COSMIC User Story Standard (CUSS)</t>
  </si>
  <si>
    <t xml:space="preserve">who/role, what (acción/proceso funcional), connections (grupos de datos relacionados), feedback/notificación de estado de operación</t>
  </si>
  <si>
    <t xml:space="preserve">No aborda generación de pruebas de software; se centra en enriquecer la plantilla de historia de usuario para mejorar la estimación de tamaño funcional (COSMIC), sin vínculo directo con TDD o generación de casos de prueba.</t>
  </si>
  <si>
    <t xml:space="preserve">Propone y evalúa mediante encuesta (22 respuestas) una nueva plantilla de historia de usuario (CUSS) que añade conexiones entre grupos de datos y retroalimentación al usuario para mejorar la expresividad en la estimación COSMIC.</t>
  </si>
  <si>
    <t xml:space="preserve">10.1109/icodse68111.2025.11351886</t>
  </si>
  <si>
    <t xml:space="preserve">Enhancing Automated User Story Quality Assessment with Large Language Models</t>
  </si>
  <si>
    <t xml:space="preserve">https://doi.org/10.1109/icodse68111.2025.11351886</t>
  </si>
  <si>
    <t xml:space="preserve">Quality User Story (QUS) framework (14 criterios); herramienta AQUSA como línea base; benchmark Trident</t>
  </si>
  <si>
    <t xml:space="preserve">Role, Means, Ends (componentes extraídos); criterios QUS sintácticos (Atomic, Minimal, Well-formed), semánticos (Conceptually Sound, Problem-Oriented, Unambiguous) y pragmáticos (Full Sentence, Estimable, Uniform, Unique, Independent, Complete, Conflict-free)</t>
  </si>
  <si>
    <t xml:space="preserve">Pipeline LLM (Chunker, Template Extractor, Analyzer) comparado con AQUSA usando Llama 4 Maverick, Mistral 7B, DeepSeek V3 y GPT-4.1 Mini</t>
  </si>
  <si>
    <t xml:space="preserve">No genera pruebas directamente, pero mejora la extracción estructurada de componentes y la evaluación de calidad de historias de usuario (plantillas no estándar), un insumo previo necesario para poder derivar pruebas confiables a partir de HU.</t>
  </si>
  <si>
    <t xml:space="preserve">Propone un pipeline basado en LLMs que supera al enfoque basado en reglas AQUSA en precisión de extracción de componentes (Role/Means/Ends) y en detección de defectos de calidad (Atomicidad, Minimalismo) en historias de usuario con plantillas variadas.</t>
  </si>
  <si>
    <t xml:space="preserve">10.1145/3803437.3805221</t>
  </si>
  <si>
    <t xml:space="preserve">Industrial Deployment of an AI Multi-Agent System for Requirements-Driven Code Verification</t>
  </si>
  <si>
    <t xml:space="preserve">https://doi.org/10.1145/3803437.3805221</t>
  </si>
  <si>
    <t xml:space="preserve">Rúbrica organizacional propia de JPMorganChase para HU: Value Statement en formato 'As a.. I want.. So that..', Acceptance Criteria en formato 'Given/When/Then'</t>
  </si>
  <si>
    <t xml:space="preserve">Value Statement, Acceptance Criteria, Assumptions, Out of Scope, Business Requirements, Technical Requirements</t>
  </si>
  <si>
    <t xml:space="preserve">ARC-V (agentes ESRA, AC2 y Performance Assessor) desplegado en producción en JPMorganChase/Chase mobile (&gt;90 ingenieros), integrado con Jira y repos de código, usando GPT-4o-mini</t>
  </si>
  <si>
    <t xml:space="preserve">El agente AC2 verifica automáticamente si el código implementado cumple los criterios de aceptación (Given/When/Then) de la HU/ticket y predice defectos antes de producción, cerrando el ciclo requisito-código-verificación (79% de detección temprana de defectos).</t>
  </si>
  <si>
    <t xml:space="preserve">Sistema multiagente LLM desplegado industrialmente que evalúa y mejora la calidad de los campos de la HU (value statement +8.5, acceptance criteria +4 puntos) y verifica el código contra los requisitos con dashboards de desempeño continuos, en un entorno fintech regulado real.</t>
  </si>
  <si>
    <t xml:space="preserve">10.1109/re51729.2021.00026</t>
  </si>
  <si>
    <t xml:space="preserve">On the impact of using different templates on creating and understanding user stories</t>
  </si>
  <si>
    <t xml:space="preserve">https://doi.org/10.1109/re51729.2021.00026</t>
  </si>
  <si>
    <t xml:space="preserve">Cuatro plantillas de HU comparadas: CON (Connextra), BEN (beneficio primero), PER (con persona), PERBEN (persona + beneficio primero)</t>
  </si>
  <si>
    <t xml:space="preserve">tipo de usuario/persona, goal, beneficio (orden variable según plantilla)</t>
  </si>
  <si>
    <t xml:space="preserve">Herramienta web propia para tareas de creación/comprensión de HU + eye-tracker The Eye Tribe; 41 participantes</t>
  </si>
  <si>
    <t xml:space="preserve">No genera pruebas de software; estudia el impacto de la plantilla de HU en exactitud, velocidad y esfuerzo visual/cognitivo al crear y comprender HU, factores base para la calidad de HU que luego alimentarían la generación de pruebas.</t>
  </si>
  <si>
    <t xml:space="preserve">Cuasi-experimento riguroso (41 participantes, eye-tracking, NASA-TLX, pruebas estadísticas Welch/Games-Howell) que compara 4 plantillas de HU en tareas de creación y comprensión, concluyendo que ninguna plantilla es claramente superior en todas las métricas, con amenazas a la validez explícitas.</t>
  </si>
  <si>
    <t xml:space="preserve">10.1145/3748522.3779891</t>
  </si>
  <si>
    <t xml:space="preserve">Recommending Test Cases in Agile Software Development with a Taxonomy-Guided KNN Approach</t>
  </si>
  <si>
    <t xml:space="preserve">https://doi.org/10.1145/3748522.3779891</t>
  </si>
  <si>
    <t xml:space="preserve">Taxonomía WIS (Module/Operation) de Dilorenzo et al.; 59 plantillas de Criterios de Aceptación (funcionales/no funcionales); modelo de NFR de Ramos et al.; historias de usuario semi-estructuradas</t>
  </si>
  <si>
    <t xml:space="preserve">Module, Operation, Plataforma, Dominio, Criterios de Aceptación (AC), Requisitos No Funcionales (NFR)</t>
  </si>
  <si>
    <t xml:space="preserve">RecSys KNN guiado por taxonomía (offline: 217 US/1077 casos de dos empresas; online: pilotos en dos proyectos ágiles industriales)</t>
  </si>
  <si>
    <t xml:space="preserve">Recomienda y reutiliza casos de prueba asociados a historias de usuario históricas similares (clasificadas por taxonomía, AC y NFR), apoyando la selección de pruebas durante la planificación de sprint antes de codificar.</t>
  </si>
  <si>
    <t xml:space="preserve">Sistema de recomendación KNN transparente que reutiliza casos de prueba a partir de similitud entre historias de usuario estructuradas, validado offline (67.5% recall, 37.8% precisión, F2=0.51) y en despliegue industrial online (65.1% recall, 63.1% precisión, +38.8% de expansión de la suite de pruebas).</t>
  </si>
  <si>
    <t xml:space="preserve">10.1007/978-3-319-46589-0_11</t>
  </si>
  <si>
    <t xml:space="preserve">The Extension of User Story Template Structure with an Assessment Question Based on the Kano Model</t>
  </si>
  <si>
    <t xml:space="preserve">https://doi.org/10.1007/978-3-319-46589-0_11</t>
  </si>
  <si>
    <t xml:space="preserve">Extensión de la plantilla Connextra combinada con el modelo Kano (must-be/linear/attractive)</t>
  </si>
  <si>
    <t xml:space="preserve">tipo de usuario, goal, reason, más pregunta funcional/disfuncional Kano ('If I can'/'If I cannot... how do I feel?') y escala de satisfacción de 5 puntos</t>
  </si>
  <si>
    <t xml:space="preserve">Ejemplo ilustrativo de planificación de cursos (lecturer/course scheduling); sin herramienta software implementada</t>
  </si>
  <si>
    <t xml:space="preserve">No deriva pruebas de software; propone extender la plantilla de HU con una pregunta de evaluación Kano para clasificar y priorizar/depurar el backlog de HU antes del desarrollo.</t>
  </si>
  <si>
    <t xml:space="preserve">Propone una nueva estructura de plantilla de historia de usuario que incorpora una pregunta de evaluación de satisfacción del cliente (modelo Kano) para identificar y eliminar funcionalidades innecesarias (waste) del backlog, validada solo con un pequeño estudio piloto (12 respuestas) y un ejemplo ilustrativo.</t>
  </si>
  <si>
    <t xml:space="preserve">10.1007/978-3-319-30282-9</t>
  </si>
  <si>
    <t xml:space="preserve">The Use and Effectiveness of User Stories in Practice</t>
  </si>
  <si>
    <t xml:space="preserve">https://doi.org/10.1007/978-3-319-30282-9</t>
  </si>
  <si>
    <t xml:space="preserve">Plantilla Connextra; guía de calidad INVEST</t>
  </si>
  <si>
    <t xml:space="preserve">rol (type of user), objetivo (goal), beneficio (so that)</t>
  </si>
  <si>
    <t xml:space="preserve">No genera pruebas directamente, pero aporta evidencia empírica sobre plantillas y guías de calidad (INVEST) que sustentan la estructuración de HU previa a cualquier derivación posterior de pruebas.</t>
  </si>
  <si>
    <t xml:space="preserve">Encuesta con 182 respuestas válidas y 21 entrevistas de seguimiento que analiza el uso de plantillas de HU y guías de calidad (INVEST) y su percepción de efectividad en productividad y calidad de los entregables, con amenazas a la validez discutidas explícitamente.</t>
  </si>
  <si>
    <t xml:space="preserve">Tipo</t>
  </si>
  <si>
    <t xml:space="preserve">Detalle</t>
  </si>
  <si>
    <t xml:space="preserve">10.1145/3036686.3036691</t>
  </si>
  <si>
    <t xml:space="preserve">A Model Based Design Approach To System Building Using The e-Yantra Educational Robot</t>
  </si>
  <si>
    <t xml:space="preserve">https://doi.org/10.1145/3036686.3036691</t>
  </si>
  <si>
    <t xml:space="preserve">Baja relevancia: se centra en diseño basado en modelos (UML state machines) y aprendizaje por proyectos en robótica educativa, sin abordar captura estructurada de requisitos funcionales/historias de usuario orientada a la generación automática de pruebas.</t>
  </si>
  <si>
    <t xml:space="preserve">10.1145/3197091.3197096</t>
  </si>
  <si>
    <t xml:space="preserve">A Safety-Aware, Systems-Based Approach to Teaching Software Testing</t>
  </si>
  <si>
    <t xml:space="preserve">https://doi.org/10.1145/3197091.3197096</t>
  </si>
  <si>
    <t xml:space="preserve">Baja relevancia: artículo pedagógico sobre enseñanza de pruebas de software; no trata captura estructurada de requisitos ni generación automática de pruebas a partir de ellos (TDD/TDDMachine).</t>
  </si>
  <si>
    <t xml:space="preserve">10.1109/qrs57517.2022.00027</t>
  </si>
  <si>
    <t xml:space="preserve">An Empirical Study on Software Defect Prediction using Function Point Analysis</t>
  </si>
  <si>
    <t xml:space="preserve">https://doi.org/10.1109/qrs57517.2022.00027</t>
  </si>
  <si>
    <t xml:space="preserve">Fuera de alcance temático: aborda predicción de defectos a partir de tamaño de requisitos (function points), no captura estructurada de requisitos ni generación/derivación de pruebas.</t>
  </si>
  <si>
    <t xml:space="preserve">10.1145/3551349.3563241</t>
  </si>
  <si>
    <t xml:space="preserve">Application of Natural Language Processing Towards Autonomous Software Testing</t>
  </si>
  <si>
    <t xml:space="preserve">https://doi.org/10.1145/3551349.3563241</t>
  </si>
  <si>
    <t xml:space="preserve">Es un artículo de panorama/overview sin metodología sistemática ni contribución primaria propia (no reporta experimento u ontología/herramienta propia con evaluación original).</t>
  </si>
  <si>
    <t xml:space="preserve">10.1109/icit52682.2021.9491761</t>
  </si>
  <si>
    <t xml:space="preserve">Automated Test Cases Generation From Requirements Specification</t>
  </si>
  <si>
    <t xml:space="preserve">https://doi.org/10.1109/icit52682.2021.9491761</t>
  </si>
  <si>
    <t xml:space="preserve">Carece de validación empírica y de discusión de limitaciones o amenazas a la validez; el enfoque solo se describe conceptualmente mediante algoritmos, sin experimentos ni resultados.</t>
  </si>
  <si>
    <t xml:space="preserve">10.1109/apsec.2018.00086</t>
  </si>
  <si>
    <t xml:space="preserve">Automated code-based test selection for software product line regression testing</t>
  </si>
  <si>
    <t xml:space="preserve">https://doi.org/10.1109/apsec.2018.00086</t>
  </si>
  <si>
    <t xml:space="preserve">Fuera de alcance temático: no aborda captura de requisitos ni generación/derivación de pruebas a partir de especificaciones; es selección de pruebas de regresión basada exclusivamente en código fuente.</t>
  </si>
  <si>
    <t xml:space="preserve">10.1145/3422392.3422460</t>
  </si>
  <si>
    <t xml:space="preserve">Behavior-Driven Development: An Expert Panel to evaluate benefits and challenges</t>
  </si>
  <si>
    <t xml:space="preserve">https://doi.org/10.1145/3422392.3422460</t>
  </si>
  <si>
    <t xml:space="preserve">Estudio cualitativo de percepciones sobre enseñanza de BDD; no presenta método técnico ni herramienta de captura estructurada de requisitos ni de generación/derivación de pruebas.</t>
  </si>
  <si>
    <t xml:space="preserve">10.1007/978-3-030-21348-0_29</t>
  </si>
  <si>
    <t xml:space="preserve">CORAL: A Corpus of Ontological Requirements Annotated with Lexico-Syntactic Patterns</t>
  </si>
  <si>
    <t xml:space="preserve">https://doi.org/10.1007/978-3-030-21348-0_29</t>
  </si>
  <si>
    <t xml:space="preserve">Dominio de ingeniería de ontologías (competency questions), no aborda requisitos funcionales/casos de uso/historias de usuario de software ni su vínculo con generación de pruebas TDD.</t>
  </si>
  <si>
    <t xml:space="preserve">10.1109/aitest49225.2020.00022</t>
  </si>
  <si>
    <t xml:space="preserve">Cluster-Based Parallel Testing Using Semantic Analysis</t>
  </si>
  <si>
    <t xml:space="preserve">https://doi.org/10.1109/aitest49225.2020.00022</t>
  </si>
  <si>
    <t xml:space="preserve">No aborda la captura estructurada de requisitos ni la generación/derivación de pruebas a partir de ellos; se centra en optimización y agrupamiento de test cases ya redactados.</t>
  </si>
  <si>
    <t xml:space="preserve">10.1109/re.2016.12</t>
  </si>
  <si>
    <t xml:space="preserve">Definition of a Behavior-Driven Model for Requirements Specification and Testing of Interactive Systems</t>
  </si>
  <si>
    <t xml:space="preserve">https://doi.org/10.1109/re.2016.12</t>
  </si>
  <si>
    <t xml:space="preserve">Artículo de simposio doctoral (propuesta de tesis) sin resultados empíricos ejecutados: la validación se presenta solo como plan futuro, sin discusión de amenazas a la validez ni evidencia de resultados.</t>
  </si>
  <si>
    <t xml:space="preserve">10.1145/3176643</t>
  </si>
  <si>
    <t xml:space="preserve">Detecting the Behavior of Design Patterns through Model Checking and Dynamic Analysis</t>
  </si>
  <si>
    <t xml:space="preserve">https://doi.org/10.1145/3176643</t>
  </si>
  <si>
    <t xml:space="preserve">No aborda captura estructurada de requisitos (requisitos funcionales, casos de uso, historias de usuario) ni la generación de pruebas a partir de ellos; es un trabajo de ingeniería inversa de patrones de diseño en código, ajeno al alcance de la SLR.</t>
  </si>
  <si>
    <t xml:space="preserve">10.1145/3167132.3167344</t>
  </si>
  <si>
    <t xml:space="preserve">EffTE: A Dependency-aware Approach for Test-Driven Ontology Development</t>
  </si>
  <si>
    <t xml:space="preserve">https://doi.org/10.1145/3167132.3167344</t>
  </si>
  <si>
    <t xml:space="preserve">El foco es la eficiencia de re-evaluación de pruebas de ontologías mediante un grafo de dependencias, no la captura estructurada de requisitos funcionales/historias de usuario ni su vínculo con la generación automática de pruebas de software bajo TDD.</t>
  </si>
  <si>
    <t xml:space="preserve">10.1145/3387906.3388627</t>
  </si>
  <si>
    <t xml:space="preserve">Experiences with Technical Debt and Management Strategies in Production Systems Engineering</t>
  </si>
  <si>
    <t xml:space="preserve">https://doi.org/10.1145/3387906.3388627</t>
  </si>
  <si>
    <t xml:space="preserve">No trata la captura estructurada de requisitos (funcionales, casos de uso, historias de usuario) ni la generación automática de pruebas a partir de ellos; su foco es la deuda técnica en el intercambio de datos de ingeniería de sistemas de producción.</t>
  </si>
  <si>
    <t xml:space="preserve">10.1145/3559744.3559747</t>
  </si>
  <si>
    <t xml:space="preserve">Fully-Tested code generation from TLA+ specifications</t>
  </si>
  <si>
    <t xml:space="preserve">https://doi.org/10.1145/3559744.3559747</t>
  </si>
  <si>
    <t xml:space="preserve">El estudio se centra en generación de código y pruebas desde especificaciones formales TLA+ para sistemas concurrentes/distribuidos, sin relación con captura estructurada de requisitos funcionales, casos de uso o historias de usuario.</t>
  </si>
  <si>
    <t xml:space="preserve">10.1145/3593434.3593486</t>
  </si>
  <si>
    <t xml:space="preserve">Functional Size Measurement in Agile Development: Velocity in Agile Sprints</t>
  </si>
  <si>
    <t xml:space="preserve">https://doi.org/10.1145/3593434.3593486</t>
  </si>
  <si>
    <t xml:space="preserve">Calidad insuficiente (rigor metodológico débil, sin discusión formal de amenazas a la validez) y baja relevancia: no aborda captura estructurada de requisitos ni generación de pruebas de software.</t>
  </si>
  <si>
    <t xml:space="preserve">10.1145/3197091.3197108</t>
  </si>
  <si>
    <t xml:space="preserve">Guidelines for Software Testing Education Objectives from Industry Practices with a Constructive Alignment Approach</t>
  </si>
  <si>
    <t xml:space="preserve">https://doi.org/10.1145/3197091.3197108</t>
  </si>
  <si>
    <t xml:space="preserve">Relevancia baja: el estudio trata sobre educación en ingeniería de software y prácticas de testing en la industria, sin relación con captura estructurada de requisitos ni generación de pruebas a partir de ellos.</t>
  </si>
  <si>
    <t xml:space="preserve">10.1145/3641554.3701809</t>
  </si>
  <si>
    <t xml:space="preserve">How Effective and Efficient Are Student-Written Software Tests?</t>
  </si>
  <si>
    <t xml:space="preserve">https://doi.org/10.1145/3641554.3701809</t>
  </si>
  <si>
    <t xml:space="preserve">Aunque metodológicamente sólido (objetivos claros, método y amenazas a la validez bien descritos), el estudio se centra en educación en pruebas de software y en el comportamiento de estudiantes al escribir pruebas manuales, sin abordar captura estructurada de requisitos ni generación/derivación automática de pruebas desde especificaciones, por lo que su relevancia para la revisión es baja.</t>
  </si>
  <si>
    <t xml:space="preserve">10.1145/3789418.3789438</t>
  </si>
  <si>
    <t xml:space="preserve">Hybrid Agile-Waterfall Methodology for Philippine Public Sector Procurement Planning System</t>
  </si>
  <si>
    <t xml:space="preserve">https://doi.org/10.1145/3789418.3789438</t>
  </si>
  <si>
    <t xml:space="preserve">Baja relevancia: no aborda la captura estructurada de requisitos orientada a la derivacion/generacion automatica de pruebas; es un caso de desarrollo de software con metodologia hibrida y pruebas manuales de rendimiento/aceptacion.</t>
  </si>
  <si>
    <t xml:space="preserve">10.1109/rew.2019.00047</t>
  </si>
  <si>
    <t xml:space="preserve">Implementation-centric Classification of Business Rules from Documents</t>
  </si>
  <si>
    <t xml:space="preserve">https://doi.org/10.1109/rew.2019.00047</t>
  </si>
  <si>
    <t xml:space="preserve">No aborda la generación de pruebas de software; su contribución es exclusivamente la clasificación de reglas de negocio mediante deep learning, sin relación con TDDMachine ni con derivación de casos de prueba.</t>
  </si>
  <si>
    <t xml:space="preserve">10.1145/3550356.3561609</t>
  </si>
  <si>
    <t xml:space="preserve">Industrial Requirements for Supporting AI-Enhanced Model-Driven Engineering</t>
  </si>
  <si>
    <t xml:space="preserve">https://doi.org/10.1145/3550356.3561609</t>
  </si>
  <si>
    <t xml:space="preserve">No aborda un método o herramienta de captura estructurada de requisitos ni de generación de pruebas a partir de ellos; es un reporte de necesidades industriales genéricas de IA para MDE/DevOps/testing/monitorización, con muy baja relevancia directa para el tema de la SLR.</t>
  </si>
  <si>
    <t xml:space="preserve">Large Language Model-Supported Software Testing with the CS Matrix Taxonomy</t>
  </si>
  <si>
    <t xml:space="preserve">https://scholar.google.com/scholar?q=Large%20Language%20Model-Supported%20Software%20Testing%20with%20the%20CS%20Matrix%20Taxonomy</t>
  </si>
  <si>
    <t xml:space="preserve">No aborda captura estructurada de requisitos ni generación de pruebas a partir de especificaciones; es una idea pedagógica ilustrada con un único ejemplo de código, sin evaluación empírica ni discusión de limitaciones/validez, por lo que no cumple el umbral de calidad ni de relevancia de la revisión.</t>
  </si>
  <si>
    <t xml:space="preserve">Model-Based Testing Approach for MATLAB/Simulink using System Entity Structure and Experimental Frames</t>
  </si>
  <si>
    <t xml:space="preserve">https://scholar.google.com/scholar?q=Model-Based%20Testing%20Approach%20for%20MATLAB/Simulink%20using%20System%20Entity%20Structure%20and%20Experimental%20Frames</t>
  </si>
  <si>
    <t xml:space="preserve">Baja relevancia: el enfoque se centra en modelado/ontología de pruebas de simulación (SES/EF) y no en la captura estructurada de requisitos funcionales, casos de uso o historias de usuario para generación de pruebas de software.</t>
  </si>
  <si>
    <t xml:space="preserve">10.1145/3318396.3318442</t>
  </si>
  <si>
    <t xml:space="preserve">Ontology Based Test Case Generation for Black Box Testing</t>
  </si>
  <si>
    <t xml:space="preserve">https://doi.org/10.1145/3318396.3318442</t>
  </si>
  <si>
    <t xml:space="preserve">No presenta implementación completa ni evaluación empírica del framework propuesto; es puramente conceptual, sin resultados ni discusión de limitaciones/amenazas a la validez.</t>
  </si>
  <si>
    <t xml:space="preserve">10.1016/j.simpat.2020.102246</t>
  </si>
  <si>
    <t xml:space="preserve">Reliability and Availability Prediction of Embedded Systems based on Environment Modeling and Simulation</t>
  </si>
  <si>
    <t xml:space="preserve">https://doi.org/10.1016/j.simpat.2020.102246</t>
  </si>
  <si>
    <t xml:space="preserve">El foco central es la predicción de confiabilidad/disponibilidad mediante simulación de entorno de hardware; el documento de requisitos (SysRS) se usa solo como insumo genérico para el modelado UML, no hay captura estructurada de requisitos (casos de uso, historias de usuario) orientada a generación de pruebas.</t>
  </si>
  <si>
    <t xml:space="preserve">10.1088/1757-899x/322/6/062018</t>
  </si>
  <si>
    <t xml:space="preserve">Research on Generating Method of Embedded Software Test Document Based on Dynamic Model</t>
  </si>
  <si>
    <t xml:space="preserve">https://doi.org/10.1088/1757-899x/322/6/062018</t>
  </si>
  <si>
    <t xml:space="preserve">Calidad insuficiente: la sección de resultados experimentales solo afirma que el método "es factible" sin presentar datos, métricas ni casos de estudio, y no discute limitaciones ni amenazas a la validez.</t>
  </si>
  <si>
    <t xml:space="preserve">10.1145/3766671.3766826</t>
  </si>
  <si>
    <t xml:space="preserve">Research on the application of artificial intelligence in software automation test case generation in aerospace field</t>
  </si>
  <si>
    <t xml:space="preserve">https://doi.org/10.1145/3766671.3766826</t>
  </si>
  <si>
    <t xml:space="preserve">Calidad insuficiente: es un trabajo mayormente descriptivo basado en revisión de literatura general, sin metodología reproducible, sin discusión de amenazas a la validez, y con evidencia experimental muy limitada, superficial y no detallada (un único ejemplo ilustrativo con métricas no explicadas).</t>
  </si>
  <si>
    <t xml:space="preserve">10.1109/icoiics67115.2025.11390299</t>
  </si>
  <si>
    <t xml:space="preserve">SDLC AutoPilot AI: Agentic Automation of Software Development Life Cycle</t>
  </si>
  <si>
    <t xml:space="preserve">https://doi.org/10.1109/icoiics67115.2025.11390299</t>
  </si>
  <si>
    <t xml:space="preserve">Calidad insuficiente: metodología y resultados descritos de forma vaga y contradictoria (se presentan resultados de evaluación en una sección previa a describir el diseño experimental como trabajo futuro), sin evidencia empírica reproducible ni discusión seria de amenazas a la validez.</t>
  </si>
  <si>
    <t xml:space="preserve">10.1016/j.advengsoft.2016.06.008</t>
  </si>
  <si>
    <t xml:space="preserve">State of the practice for mesh generation and mesh processing software</t>
  </si>
  <si>
    <t xml:space="preserve">https://doi.org/10.1016/j.advengsoft.2016.06.008</t>
  </si>
  <si>
    <t xml:space="preserve">Es un estudio sobre prácticas de ingeniería de software (mantenibilidad, usabilidad, documentación) en herramientas de generación de mallas; no aborda la captura estructurada de requisitos funcionales/casos de uso/historias de usuario ni su vinculación con la generación automática de pruebas.</t>
  </si>
  <si>
    <t xml:space="preserve">10.1016/j.procs.2021.01.247</t>
  </si>
  <si>
    <t xml:space="preserve">Test Case Generation From Web Usage Information</t>
  </si>
  <si>
    <t xml:space="preserve">https://doi.org/10.1016/j.procs.2021.01.247</t>
  </si>
  <si>
    <t xml:space="preserve">Calidad insuficiente: no presenta evaluación empírica con métricas ni discute limitaciones o amenazas a la validez; solo describe funcionalidades de la herramienta mediante capturas de pantalla, sin datos de efectividad.</t>
  </si>
  <si>
    <t xml:space="preserve">10.1109/dsa.2017.35</t>
  </si>
  <si>
    <t xml:space="preserve">Testing Requirement Analysis Method Based on Signal Path for High Reliability Software</t>
  </si>
  <si>
    <t xml:space="preserve">https://doi.org/10.1109/dsa.2017.35</t>
  </si>
  <si>
    <t xml:space="preserve">Calidad insuficiente: articulo extremadamente breve (2 paginas), sin descripcion rigurosa ni reproducible del metodo y sin discusion de validez o limitaciones.</t>
  </si>
  <si>
    <t xml:space="preserve">10.1088/1742-6596/1175/1/012112</t>
  </si>
  <si>
    <t xml:space="preserve">The implementation of ATDD and BDD from Testing Perspectives</t>
  </si>
  <si>
    <t xml:space="preserve">https://doi.org/10.1088/1742-6596/1175/1/012112</t>
  </si>
  <si>
    <t xml:space="preserve">Calidad insuficiente: los objetivos y resultados se reportan de forma vaga (solo conteo simple de funciones con errores), sin análisis riguroso ni discusión de limitaciones o amenazas a la validez.</t>
  </si>
  <si>
    <t xml:space="preserve">10.1109/educon54358.2023.10125141</t>
  </si>
  <si>
    <t xml:space="preserve">Towards the design of an interactive continuing training for software engineers in the Internet of Things sustainability using the example of autonomous vehicles</t>
  </si>
  <si>
    <t xml:space="preserve">https://doi.org/10.1109/educon54358.2023.10125141</t>
  </si>
  <si>
    <t xml:space="preserve">Fuera de alcance de la SLR: es un estudio de diseño curricular/formación continua sobre sostenibilidad en IoT, no trata captura estructurada de requisitos ni generación automática de pruebas de software.</t>
  </si>
  <si>
    <t xml:space="preserve">Using BDD and SBVR to Refine Business Goals into an Event-B Model: A Research Idea</t>
  </si>
  <si>
    <t xml:space="preserve">https://scholar.google.com/scholar?q=Using%20BDD%20and%20SBVR%20to%20Refine%20Business%20Goals%20into%20an%20Event-B%20Model%3A%20A%20Research%20Idea</t>
  </si>
  <si>
    <t xml:space="preserve">Es un trabajo de idea de investigación en etapa preliminar ('ongoing work'), sin herramienta implementada ni evaluación empírica; solo se ilustra con un único ejemplo conceptual, sin discusión de limitaciones o amenazas a la validez, por lo que no alcanza el umbral de calidad exigido.</t>
  </si>
  <si>
    <t xml:space="preserve">10.1109/ret.2015.15</t>
  </si>
  <si>
    <t xml:space="preserve">Visual Requirements Specification and Automated Test Generation for Digital Applications</t>
  </si>
  <si>
    <t xml:space="preserve">https://doi.org/10.1109/ret.2015.15</t>
  </si>
  <si>
    <t xml:space="preserve">Calidad insuficiente: no se reporta ninguna evaluación empírica ni caso de estudio con métricas (solo un ejemplo ilustrativo) y el trabajo se describe como aún en fase de "piloto"; no discute limitaciones ni amenazas a la validez.</t>
  </si>
  <si>
    <t xml:space="preserve">10.1145/3084226.3084265</t>
  </si>
  <si>
    <t xml:space="preserve">What Do We Know about Alignment of Requirements Engineering and Software Testing?</t>
  </si>
  <si>
    <t xml:space="preserve">https://doi.org/10.1145/3084226.3084265</t>
  </si>
  <si>
    <t xml:space="preserve">Es un estudio de mapeo sistemático (secundario/revisión), no una contribución primaria (método, herramienta o experimento propio); por definición no cumple el criterio de estudio primario aunque su calidad metodológica y relevancia temática sean altas.</t>
  </si>
  <si>
    <t xml:space="preserve">A Change Management Approach in Product Lines for Use Case-Driven Development and Testing</t>
  </si>
  <si>
    <t xml:space="preserve">https://scholar.google.com/scholar?q=A%20Change%20Management%20Approach%20in%20Product%20Lines%20for%20Use%20Case-Driven%20Development%20and%20Testing</t>
  </si>
  <si>
    <t xml:space="preserve">Es un artículo de visión/resumen de un programa de investigación (parcialmente trabajo futuro), sin una evaluación empírica propia completa presentada en el texto; se considera no primario a efectos de esta SLR.</t>
  </si>
  <si>
    <t xml:space="preserve">10.1145/3520084.3520092</t>
  </si>
  <si>
    <t xml:space="preserve">Design and Development of a Technology-Agnostic NFR Testing Framework: Introducing the framework and discussing the future of load testing in Agile software development</t>
  </si>
  <si>
    <t xml:space="preserve">https://doi.org/10.1145/3520084.3520092</t>
  </si>
  <si>
    <t xml:space="preserve">Relevancia baja: el foco es pruebas no funcionales (carga/rendimiento); el 'caso de uso' es un script de simulación de carga y no un artefacto de captura de requisitos, por lo que queda fuera del alcance de la SLR sobre generación automática de pruebas TDD desde requisitos estructurados.</t>
  </si>
  <si>
    <t xml:space="preserve">10.1007/978-981-10-7563-6_34</t>
  </si>
  <si>
    <t xml:space="preserve">Early System Test Effort Estimation Automation for Object-Oriented Systems</t>
  </si>
  <si>
    <t xml:space="preserve">https://doi.org/10.1007/978-981-10-7563-6_34</t>
  </si>
  <si>
    <t xml:space="preserve">El foco del artículo es la estimación de esfuerzo de pruebas, no la generación automática de pruebas a partir de requisitos/casos de uso, por lo que su relevancia para el objetivo de la SLR es baja pese a superar el umbral de calidad.</t>
  </si>
  <si>
    <t xml:space="preserve">10.1145/3297156.3297215</t>
  </si>
  <si>
    <t xml:space="preserve">Framework Research on the Implementation of Automated Test User Requirements</t>
  </si>
  <si>
    <t xml:space="preserve">https://doi.org/10.1145/3297156.3297215</t>
  </si>
  <si>
    <t xml:space="preserve">Calidad insuficiente: la validación se limita a un solo caso de uso, sin rigor metodológico, métricas cuantitativas ni discusión de validez o limitaciones del enfoque.</t>
  </si>
  <si>
    <t xml:space="preserve">10.1109/ladc.2016.28</t>
  </si>
  <si>
    <t xml:space="preserve">Modeling Dependable Product-Families: from Use Cases to State Machine Models</t>
  </si>
  <si>
    <t xml:space="preserve">https://doi.org/10.1109/ladc.2016.28</t>
  </si>
  <si>
    <t xml:space="preserve">Trabajo en progreso (prototipo bajo desarrollo) sin evaluación empírica, resultados ni discusión sustantiva de limitaciones; no reporta datos de validación.</t>
  </si>
  <si>
    <t xml:space="preserve">10.1007/978-3-032-04403-7_23</t>
  </si>
  <si>
    <t xml:space="preserve">Silver Box Testing for Scaling Software Development Fidelity: Enhancing Quality and Efficiency</t>
  </si>
  <si>
    <t xml:space="preserve">https://doi.org/10.1007/978-3-032-04403-7_23</t>
  </si>
  <si>
    <t xml:space="preserve">Relevancia baja: es un estudio pedagógico sobre un proceso de testing entre pares/equipos; no aborda la generación automática de pruebas a partir de requisitos o casos de uso estructurados, que es el foco de la SLR.</t>
  </si>
  <si>
    <t xml:space="preserve">10.1109/mi-sta52233.2021.9464395</t>
  </si>
  <si>
    <t xml:space="preserve">Software Security Framework using the Combination of Use-Misuse Diagrams and Test-Driven Development</t>
  </si>
  <si>
    <t xml:space="preserve">https://doi.org/10.1109/mi-sta52233.2021.9464395</t>
  </si>
  <si>
    <t xml:space="preserve">La evaluación es cualitativa/descriptiva (dos estudios de caso) sin métricas cuantitativas de calidad de las pruebas ni discusión formal de amenazas a la validez.</t>
  </si>
  <si>
    <t xml:space="preserve">10.1145/2950290.2983945</t>
  </si>
  <si>
    <t xml:space="preserve">Supporting Change in Product Lines within the Context of Use Case-Driven Development and Testing</t>
  </si>
  <si>
    <t xml:space="preserve">https://doi.org/10.1145/2950290.2983945</t>
  </si>
  <si>
    <t xml:space="preserve">Calidad insuficiente: es un resumen de propuesta de tesis doctoral (doctoral symposium) sin evaluación empírica completa; los resultados relativos a generación y selección de pruebas -el aspecto más relevante para la SLR- todavía son trabajo futuro, sin rigor metodológico ni discusión de validez.</t>
  </si>
  <si>
    <t xml:space="preserve">10.3233/kes-180386</t>
  </si>
  <si>
    <t xml:space="preserve">Test effort estimation in early stages using Use Case and Class models for web applications</t>
  </si>
  <si>
    <t xml:space="preserve">https://doi.org/10.3233/kes-180386</t>
  </si>
  <si>
    <t xml:space="preserve">El estudio aborda estimación de esfuerzo de pruebas a partir de modelos UML, no la generación automática de pruebas desde requisitos estructurados, que es el foco central de la SLR.</t>
  </si>
  <si>
    <t xml:space="preserve">10.1007/978-3-319-27896-4_9</t>
  </si>
  <si>
    <t xml:space="preserve">Expressing, Managing, and Validating User Stories: Experiences from the Market</t>
  </si>
  <si>
    <t xml:space="preserve">https://doi.org/10.1007/978-3-319-27896-4_9</t>
  </si>
  <si>
    <t xml:space="preserve">Informe de experiencia industrial (opinión/práctica) sin metodología de investigación, datos empíricos, análisis de validez ni resultados cuantitativos verificables; calidad_total=0.5, insuficiente para inclusión.</t>
  </si>
  <si>
    <t xml:space="preserve">Test Suite Reduction based on knowledge Reuse: An Adaptive Elitism Based Intellect approach (AEBI) using Clustering Technique</t>
  </si>
  <si>
    <t xml:space="preserve">https://scholar.google.com/scholar?q=Test%20Suite%20Reduction%20based%20on%20knowledge%20Reuse%3A%20An%20Adaptive%20Elitism%20Based%20Intellect%20approach%20%28AEBI%29%20using%20Clustering%20Technique</t>
  </si>
  <si>
    <t xml:space="preserve">Baja relevancia: el contenido real del artículo (a pesar del nombre de archivo) no aborda historias de usuario, casos de uso ni captura estructurada de requisitos; es una técnica de optimización/reducción de test suites mediante metaheurística, ajena al foco de la revisión.</t>
  </si>
</sst>
</file>

<file path=xl/styles.xml><?xml version="1.0" encoding="utf-8"?>
<styleSheet xmlns="http://schemas.openxmlformats.org/spreadsheetml/2006/main">
  <numFmts count="2">
    <numFmt numFmtId="164" formatCode="General"/>
    <numFmt numFmtId="165" formatCode="General"/>
  </numFmts>
  <fonts count="11">
    <font>
      <sz val="11"/>
      <color theme="1"/>
      <name val="Calibri"/>
      <family val="2"/>
      <charset val="1"/>
    </font>
    <font>
      <sz val="10"/>
      <name val="Arial"/>
      <family val="0"/>
    </font>
    <font>
      <sz val="10"/>
      <name val="Arial"/>
      <family val="0"/>
    </font>
    <font>
      <sz val="10"/>
      <name val="Arial"/>
      <family val="0"/>
    </font>
    <font>
      <b val="true"/>
      <sz val="14"/>
      <color rgb="FF1F3B57"/>
      <name val="Arial"/>
      <family val="0"/>
      <charset val="1"/>
    </font>
    <font>
      <i val="true"/>
      <sz val="9"/>
      <color rgb="FF595959"/>
      <name val="Arial"/>
      <family val="0"/>
      <charset val="1"/>
    </font>
    <font>
      <b val="true"/>
      <sz val="11"/>
      <name val="Arial"/>
      <family val="0"/>
      <charset val="1"/>
    </font>
    <font>
      <b val="true"/>
      <sz val="11"/>
      <color rgb="FFFFFFFF"/>
      <name val="Arial"/>
      <family val="0"/>
      <charset val="1"/>
    </font>
    <font>
      <sz val="10"/>
      <name val="Arial"/>
      <family val="0"/>
      <charset val="1"/>
    </font>
    <font>
      <i val="true"/>
      <sz val="9"/>
      <color rgb="FF404040"/>
      <name val="Arial"/>
      <family val="0"/>
      <charset val="1"/>
    </font>
    <font>
      <b val="true"/>
      <sz val="13"/>
      <color rgb="FF1F3B57"/>
      <name val="Arial"/>
      <family val="0"/>
      <charset val="1"/>
    </font>
  </fonts>
  <fills count="6">
    <fill>
      <patternFill patternType="none"/>
    </fill>
    <fill>
      <patternFill patternType="gray125"/>
    </fill>
    <fill>
      <patternFill patternType="solid">
        <fgColor rgb="FF2E6DA4"/>
        <bgColor rgb="FF3366FF"/>
      </patternFill>
    </fill>
    <fill>
      <patternFill patternType="solid">
        <fgColor rgb="FFDCE6F1"/>
        <bgColor rgb="FFE6F3EA"/>
      </patternFill>
    </fill>
    <fill>
      <patternFill patternType="solid">
        <fgColor rgb="FFE6F3EA"/>
        <bgColor rgb="FFDCE6F1"/>
      </patternFill>
    </fill>
    <fill>
      <patternFill patternType="solid">
        <fgColor rgb="FFFBE3DA"/>
        <bgColor rgb="FFE6F3E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bottom"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5" fontId="6" fillId="3" borderId="1" xfId="0" applyFont="true" applyBorder="true" applyAlignment="true" applyProtection="false">
      <alignment horizontal="center"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5" fontId="6" fillId="4" borderId="1" xfId="0" applyFont="true" applyBorder="true" applyAlignment="true" applyProtection="false">
      <alignment horizontal="center" vertical="bottom" textRotation="0" wrapText="fals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xf numFmtId="165" fontId="6" fillId="5"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6" fillId="4"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center" vertical="top" textRotation="0" wrapText="false" indent="0" shrinkToFit="false"/>
      <protection locked="true" hidden="false"/>
    </xf>
    <xf numFmtId="164" fontId="8" fillId="0" borderId="1" xfId="0" applyFont="true" applyBorder="true" applyAlignment="true" applyProtection="false">
      <alignment horizontal="left" vertical="top" textRotation="0" wrapText="fals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8" fillId="5" borderId="1" xfId="0" applyFont="true" applyBorder="true" applyAlignment="true" applyProtection="false">
      <alignment horizontal="left"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2E6DA4"/>
          <bgColor rgb="FF000000"/>
        </patternFill>
      </fill>
    </dxf>
    <dxf>
      <fill>
        <patternFill patternType="solid">
          <bgColor rgb="FF000000"/>
        </patternFill>
      </fill>
    </dxf>
    <dxf>
      <fill>
        <patternFill patternType="solid">
          <fgColor rgb="FFFFFFFF"/>
          <bgColor rgb="FF000000"/>
        </patternFill>
      </fill>
    </dxf>
    <dxf>
      <fill>
        <patternFill patternType="solid">
          <fgColor rgb="FFFBE3DA"/>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BE3DA"/>
      <rgbColor rgb="FFE6F3EA"/>
      <rgbColor rgb="FF660066"/>
      <rgbColor rgb="FFFF8080"/>
      <rgbColor rgb="FF2E6DA4"/>
      <rgbColor rgb="FFCCCCFF"/>
      <rgbColor rgb="FF000080"/>
      <rgbColor rgb="FFFF00FF"/>
      <rgbColor rgb="FFFFFF00"/>
      <rgbColor rgb="FF00FFFF"/>
      <rgbColor rgb="FF800080"/>
      <rgbColor rgb="FF800000"/>
      <rgbColor rgb="FF008080"/>
      <rgbColor rgb="FF0000FF"/>
      <rgbColor rgb="FF00CCFF"/>
      <rgbColor rgb="FFDCE6F1"/>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B57"/>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4" min="2" style="0" width="12"/>
    <col collapsed="false" customWidth="true" hidden="false" outlineLevel="0" max="5" min="5" style="0" width="4"/>
  </cols>
  <sheetData>
    <row r="1" customFormat="false" ht="17.35" hidden="false" customHeight="false" outlineLevel="0" collapsed="false">
      <c r="A1" s="1" t="s">
        <v>0</v>
      </c>
    </row>
    <row r="2" customFormat="false" ht="42" hidden="false" customHeight="true" outlineLevel="0" collapsed="false">
      <c r="A2" s="2" t="s">
        <v>1</v>
      </c>
      <c r="B2" s="2"/>
      <c r="C2" s="2"/>
      <c r="D2" s="2"/>
      <c r="E2" s="2"/>
    </row>
    <row r="4" customFormat="false" ht="15" hidden="false" customHeight="false" outlineLevel="0" collapsed="false">
      <c r="A4" s="3" t="s">
        <v>2</v>
      </c>
    </row>
    <row r="5" customFormat="false" ht="15" hidden="false" customHeight="false" outlineLevel="0" collapsed="false">
      <c r="A5" s="4" t="s">
        <v>3</v>
      </c>
      <c r="B5" s="4" t="s">
        <v>4</v>
      </c>
      <c r="C5" s="4" t="s">
        <v>5</v>
      </c>
      <c r="D5" s="4" t="s">
        <v>6</v>
      </c>
    </row>
    <row r="6" customFormat="false" ht="15" hidden="false" customHeight="false" outlineLevel="0" collapsed="false">
      <c r="A6" s="5" t="s">
        <v>7</v>
      </c>
      <c r="B6" s="6" t="n">
        <f aca="false">COUNTIF('Estudios incluidos'!$B:$B,"Requisitos funcionales")+COUNTIF('Estudios excluidos'!$B:$B,"Requisitos funcionales")</f>
        <v>121</v>
      </c>
      <c r="C6" s="6" t="n">
        <f aca="false">COUNTIF('Estudios incluidos'!$B:$B,"Requisitos funcionales")</f>
        <v>86</v>
      </c>
      <c r="D6" s="6" t="n">
        <f aca="false">COUNTIF('Estudios excluidos'!$B:$B,"Requisitos funcionales")</f>
        <v>35</v>
      </c>
    </row>
    <row r="7" customFormat="false" ht="15" hidden="false" customHeight="false" outlineLevel="0" collapsed="false">
      <c r="A7" s="5" t="s">
        <v>8</v>
      </c>
      <c r="B7" s="6" t="n">
        <f aca="false">COUNTIF('Estudios incluidos'!$B:$B,"Casos de uso")+COUNTIF('Estudios excluidos'!$B:$B,"Casos de uso")</f>
        <v>22</v>
      </c>
      <c r="C7" s="6" t="n">
        <f aca="false">COUNTIF('Estudios incluidos'!$B:$B,"Casos de uso")</f>
        <v>13</v>
      </c>
      <c r="D7" s="6" t="n">
        <f aca="false">COUNTIF('Estudios excluidos'!$B:$B,"Casos de uso")</f>
        <v>9</v>
      </c>
    </row>
    <row r="8" customFormat="false" ht="15" hidden="false" customHeight="false" outlineLevel="0" collapsed="false">
      <c r="A8" s="5" t="s">
        <v>9</v>
      </c>
      <c r="B8" s="6" t="n">
        <f aca="false">COUNTIF('Estudios incluidos'!$B:$B,"Historias de usuario")+COUNTIF('Estudios excluidos'!$B:$B,"Historias de usuario")</f>
        <v>11</v>
      </c>
      <c r="C8" s="6" t="n">
        <f aca="false">COUNTIF('Estudios incluidos'!$B:$B,"Historias de usuario")</f>
        <v>9</v>
      </c>
      <c r="D8" s="6" t="n">
        <f aca="false">COUNTIF('Estudios excluidos'!$B:$B,"Historias de usuario")</f>
        <v>2</v>
      </c>
    </row>
    <row r="9" customFormat="false" ht="15" hidden="false" customHeight="false" outlineLevel="0" collapsed="false">
      <c r="A9" s="7" t="s">
        <v>10</v>
      </c>
      <c r="B9" s="8" t="n">
        <f aca="false">SUM(B6:B8)</f>
        <v>154</v>
      </c>
      <c r="C9" s="8" t="n">
        <f aca="false">SUM(C6:C8)</f>
        <v>108</v>
      </c>
      <c r="D9" s="8" t="n">
        <f aca="false">SUM(D6:D8)</f>
        <v>46</v>
      </c>
    </row>
    <row r="11" customFormat="false" ht="15" hidden="false" customHeight="false" outlineLevel="0" collapsed="false">
      <c r="A11" s="3" t="s">
        <v>11</v>
      </c>
    </row>
    <row r="12" customFormat="false" ht="15" hidden="false" customHeight="false" outlineLevel="0" collapsed="false">
      <c r="A12" s="4" t="s">
        <v>12</v>
      </c>
      <c r="B12" s="4" t="s">
        <v>5</v>
      </c>
    </row>
    <row r="13" customFormat="false" ht="15" hidden="false" customHeight="false" outlineLevel="0" collapsed="false">
      <c r="A13" s="5" t="s">
        <v>13</v>
      </c>
      <c r="B13" s="6" t="n">
        <f aca="false">COUNTIF('Estudios incluidos'!$C:$C,"Articulo de revista")</f>
        <v>35</v>
      </c>
    </row>
    <row r="14" customFormat="false" ht="15" hidden="false" customHeight="false" outlineLevel="0" collapsed="false">
      <c r="A14" s="5" t="s">
        <v>14</v>
      </c>
      <c r="B14" s="6" t="n">
        <f aca="false">COUNTIF('Estudios incluidos'!$C:$C,"Ponencia de congreso")</f>
        <v>72</v>
      </c>
    </row>
    <row r="15" customFormat="false" ht="15" hidden="false" customHeight="false" outlineLevel="0" collapsed="false">
      <c r="A15" s="5" t="s">
        <v>15</v>
      </c>
      <c r="B15" s="6" t="n">
        <f aca="false">COUNTIF('Estudios incluidos'!$C:$C,"Capitulo de libro")</f>
        <v>0</v>
      </c>
    </row>
    <row r="16" customFormat="false" ht="15" hidden="false" customHeight="false" outlineLevel="0" collapsed="false">
      <c r="A16" s="5" t="s">
        <v>16</v>
      </c>
      <c r="B16" s="6" t="n">
        <f aca="false">COUNTIF('Estudios incluidos'!$C:$C,"Libro")</f>
        <v>0</v>
      </c>
    </row>
    <row r="17" customFormat="false" ht="15" hidden="false" customHeight="false" outlineLevel="0" collapsed="false">
      <c r="A17" s="5" t="s">
        <v>17</v>
      </c>
      <c r="B17" s="6" t="n">
        <f aca="false">COUNTIF('Estudios incluidos'!$C:$C,"Tesis doctoral")</f>
        <v>1</v>
      </c>
    </row>
    <row r="18" customFormat="false" ht="15" hidden="false" customHeight="false" outlineLevel="0" collapsed="false">
      <c r="A18" s="9" t="s">
        <v>18</v>
      </c>
      <c r="B18" s="10" t="n">
        <f aca="false">SUM(B13:B17)</f>
        <v>108</v>
      </c>
    </row>
    <row r="20" customFormat="false" ht="15" hidden="false" customHeight="false" outlineLevel="0" collapsed="false">
      <c r="A20" s="3" t="s">
        <v>19</v>
      </c>
    </row>
    <row r="21" customFormat="false" ht="15" hidden="false" customHeight="false" outlineLevel="0" collapsed="false">
      <c r="A21" s="4" t="s">
        <v>20</v>
      </c>
      <c r="B21" s="4" t="s">
        <v>6</v>
      </c>
    </row>
    <row r="22" customFormat="false" ht="15" hidden="false" customHeight="false" outlineLevel="0" collapsed="false">
      <c r="A22" s="5" t="s">
        <v>21</v>
      </c>
      <c r="B22" s="6" t="n">
        <f aca="false">COUNTIF('Estudios excluidos'!$I:$I,"Fuera de alcance temático")</f>
        <v>27</v>
      </c>
    </row>
    <row r="23" customFormat="false" ht="15" hidden="false" customHeight="false" outlineLevel="0" collapsed="false">
      <c r="A23" s="5" t="s">
        <v>22</v>
      </c>
      <c r="B23" s="6" t="n">
        <f aca="false">COUNTIF('Estudios excluidos'!$I:$I,"Calidad insuficiente")</f>
        <v>16</v>
      </c>
    </row>
    <row r="24" customFormat="false" ht="15" hidden="false" customHeight="false" outlineLevel="0" collapsed="false">
      <c r="A24" s="5" t="s">
        <v>23</v>
      </c>
      <c r="B24" s="6" t="n">
        <f aca="false">COUNTIF('Estudios excluidos'!$I:$I,"Estudio secundario")</f>
        <v>3</v>
      </c>
    </row>
    <row r="25" customFormat="false" ht="15" hidden="false" customHeight="false" outlineLevel="0" collapsed="false">
      <c r="A25" s="11" t="s">
        <v>24</v>
      </c>
      <c r="B25" s="12" t="n">
        <f aca="false">SUM(B22:B24)</f>
        <v>46</v>
      </c>
    </row>
    <row r="27" customFormat="false" ht="60" hidden="false" customHeight="true" outlineLevel="0" collapsed="false">
      <c r="A27" s="13" t="s">
        <v>25</v>
      </c>
      <c r="B27" s="13"/>
      <c r="C27" s="13"/>
      <c r="D27" s="13"/>
      <c r="E27" s="13"/>
    </row>
  </sheetData>
  <mergeCells count="2">
    <mergeCell ref="A2:E2"/>
    <mergeCell ref="A27:E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6"/>
    <col collapsed="false" customWidth="true" hidden="false" outlineLevel="0" max="2" min="2" style="0" width="12"/>
  </cols>
  <sheetData>
    <row r="1" customFormat="false" ht="16.15" hidden="false" customHeight="false" outlineLevel="0" collapsed="false">
      <c r="A1" s="14" t="s">
        <v>26</v>
      </c>
    </row>
    <row r="3" customFormat="false" ht="15" hidden="false" customHeight="false" outlineLevel="0" collapsed="false">
      <c r="A3" s="15" t="s">
        <v>27</v>
      </c>
      <c r="B3" s="16" t="s">
        <v>28</v>
      </c>
    </row>
    <row r="4" customFormat="false" ht="15" hidden="false" customHeight="false" outlineLevel="0" collapsed="false">
      <c r="A4" s="15" t="s">
        <v>29</v>
      </c>
      <c r="B4" s="16" t="s">
        <v>30</v>
      </c>
    </row>
    <row r="5" customFormat="false" ht="15" hidden="false" customHeight="false" outlineLevel="0" collapsed="false">
      <c r="A5" s="15" t="s">
        <v>31</v>
      </c>
      <c r="B5" s="16" t="s">
        <v>32</v>
      </c>
    </row>
    <row r="6" customFormat="false" ht="23.85" hidden="false" customHeight="false" outlineLevel="0" collapsed="false">
      <c r="A6" s="17" t="s">
        <v>33</v>
      </c>
      <c r="B6" s="16" t="s">
        <v>34</v>
      </c>
    </row>
    <row r="7" customFormat="false" ht="26.85" hidden="false" customHeight="false" outlineLevel="0" collapsed="false">
      <c r="A7" s="15" t="s">
        <v>35</v>
      </c>
      <c r="B7" s="16" t="s">
        <v>36</v>
      </c>
    </row>
    <row r="8" customFormat="false" ht="23.85" hidden="false" customHeight="false" outlineLevel="0" collapsed="false">
      <c r="A8" s="17" t="s">
        <v>37</v>
      </c>
      <c r="B8" s="16" t="s">
        <v>38</v>
      </c>
    </row>
    <row r="9" customFormat="false" ht="15" hidden="false" customHeight="false" outlineLevel="0" collapsed="false">
      <c r="A9" s="18" t="s">
        <v>39</v>
      </c>
      <c r="B9" s="10" t="s">
        <v>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0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3" min="2" style="0" width="20"/>
    <col collapsed="false" customWidth="true" hidden="false" outlineLevel="0" max="4" min="4" style="0" width="6"/>
    <col collapsed="false" customWidth="true" hidden="false" outlineLevel="0" max="5" min="5" style="0" width="24"/>
    <col collapsed="false" customWidth="true" hidden="false" outlineLevel="0" max="6" min="6" style="0" width="46"/>
    <col collapsed="false" customWidth="true" hidden="false" outlineLevel="0" max="7" min="7" style="0" width="26"/>
    <col collapsed="false" customWidth="true" hidden="false" outlineLevel="0" max="11" min="8" style="0" width="6"/>
    <col collapsed="false" customWidth="true" hidden="false" outlineLevel="0" max="12" min="12" style="0" width="10"/>
    <col collapsed="false" customWidth="true" hidden="false" outlineLevel="0" max="13" min="13" style="0" width="26"/>
    <col collapsed="false" customWidth="true" hidden="false" outlineLevel="0" max="14" min="14" style="0" width="28"/>
    <col collapsed="false" customWidth="true" hidden="false" outlineLevel="0" max="15" min="15" style="0" width="20"/>
    <col collapsed="false" customWidth="true" hidden="false" outlineLevel="0" max="16" min="16" style="0" width="38"/>
    <col collapsed="false" customWidth="true" hidden="false" outlineLevel="0" max="17" min="17" style="0" width="40"/>
  </cols>
  <sheetData>
    <row r="1" customFormat="false" ht="26.85" hidden="false" customHeight="false" outlineLevel="0" collapsed="false">
      <c r="A1" s="4" t="s">
        <v>41</v>
      </c>
      <c r="B1" s="4" t="s">
        <v>3</v>
      </c>
      <c r="C1" s="4" t="s">
        <v>42</v>
      </c>
      <c r="D1" s="4" t="s">
        <v>43</v>
      </c>
      <c r="E1" s="4" t="s">
        <v>44</v>
      </c>
      <c r="F1" s="4" t="s">
        <v>45</v>
      </c>
      <c r="G1" s="4" t="s">
        <v>46</v>
      </c>
      <c r="H1" s="4" t="s">
        <v>47</v>
      </c>
      <c r="I1" s="4" t="s">
        <v>48</v>
      </c>
      <c r="J1" s="4" t="s">
        <v>49</v>
      </c>
      <c r="K1" s="4" t="s">
        <v>50</v>
      </c>
      <c r="L1" s="4" t="s">
        <v>51</v>
      </c>
      <c r="M1" s="4" t="s">
        <v>52</v>
      </c>
      <c r="N1" s="4" t="s">
        <v>53</v>
      </c>
      <c r="O1" s="4" t="s">
        <v>54</v>
      </c>
      <c r="P1" s="4" t="s">
        <v>55</v>
      </c>
      <c r="Q1" s="4" t="s">
        <v>56</v>
      </c>
    </row>
    <row r="2" customFormat="false" ht="79.85" hidden="false" customHeight="false" outlineLevel="0" collapsed="false">
      <c r="A2" s="19" t="n">
        <v>1</v>
      </c>
      <c r="B2" s="20" t="s">
        <v>7</v>
      </c>
      <c r="C2" s="20" t="s">
        <v>14</v>
      </c>
      <c r="D2" s="19" t="n">
        <v>2023</v>
      </c>
      <c r="E2" s="20" t="s">
        <v>57</v>
      </c>
      <c r="F2" s="21" t="s">
        <v>58</v>
      </c>
      <c r="G2" s="20" t="s">
        <v>59</v>
      </c>
      <c r="H2" s="19" t="n">
        <v>1</v>
      </c>
      <c r="I2" s="19" t="n">
        <v>1</v>
      </c>
      <c r="J2" s="19" t="n">
        <v>0.5</v>
      </c>
      <c r="K2" s="19" t="n">
        <v>1</v>
      </c>
      <c r="L2" s="19" t="n">
        <v>3.5</v>
      </c>
      <c r="M2" s="21" t="s">
        <v>60</v>
      </c>
      <c r="N2" s="21" t="s">
        <v>61</v>
      </c>
      <c r="O2" s="20" t="s">
        <v>62</v>
      </c>
      <c r="P2" s="21" t="s">
        <v>63</v>
      </c>
      <c r="Q2" s="21" t="s">
        <v>64</v>
      </c>
    </row>
    <row r="3" customFormat="false" ht="79.85" hidden="false" customHeight="false" outlineLevel="0" collapsed="false">
      <c r="A3" s="19" t="n">
        <v>2</v>
      </c>
      <c r="B3" s="20" t="s">
        <v>7</v>
      </c>
      <c r="C3" s="20" t="s">
        <v>14</v>
      </c>
      <c r="D3" s="19" t="n">
        <v>2019</v>
      </c>
      <c r="E3" s="20" t="s">
        <v>65</v>
      </c>
      <c r="F3" s="21" t="s">
        <v>66</v>
      </c>
      <c r="G3" s="20" t="s">
        <v>67</v>
      </c>
      <c r="H3" s="19" t="n">
        <v>1</v>
      </c>
      <c r="I3" s="19" t="n">
        <v>1</v>
      </c>
      <c r="J3" s="19" t="n">
        <v>0.5</v>
      </c>
      <c r="K3" s="19" t="n">
        <v>1</v>
      </c>
      <c r="L3" s="19" t="n">
        <v>3.5</v>
      </c>
      <c r="M3" s="21" t="s">
        <v>68</v>
      </c>
      <c r="N3" s="21" t="s">
        <v>69</v>
      </c>
      <c r="O3" s="20" t="s">
        <v>70</v>
      </c>
      <c r="P3" s="21" t="s">
        <v>71</v>
      </c>
      <c r="Q3" s="21" t="s">
        <v>72</v>
      </c>
    </row>
    <row r="4" customFormat="false" ht="79.85" hidden="false" customHeight="false" outlineLevel="0" collapsed="false">
      <c r="A4" s="19" t="n">
        <v>3</v>
      </c>
      <c r="B4" s="20" t="s">
        <v>7</v>
      </c>
      <c r="C4" s="20" t="s">
        <v>14</v>
      </c>
      <c r="D4" s="19" t="n">
        <v>2024</v>
      </c>
      <c r="E4" s="20" t="s">
        <v>73</v>
      </c>
      <c r="F4" s="21" t="s">
        <v>74</v>
      </c>
      <c r="G4" s="20" t="s">
        <v>75</v>
      </c>
      <c r="H4" s="19" t="n">
        <v>1</v>
      </c>
      <c r="I4" s="19" t="n">
        <v>1</v>
      </c>
      <c r="J4" s="19" t="n">
        <v>0.5</v>
      </c>
      <c r="K4" s="19" t="n">
        <v>1</v>
      </c>
      <c r="L4" s="19" t="n">
        <v>3.5</v>
      </c>
      <c r="M4" s="21" t="s">
        <v>76</v>
      </c>
      <c r="N4" s="21" t="s">
        <v>77</v>
      </c>
      <c r="O4" s="20" t="s">
        <v>78</v>
      </c>
      <c r="P4" s="21" t="s">
        <v>79</v>
      </c>
      <c r="Q4" s="21" t="s">
        <v>80</v>
      </c>
    </row>
    <row r="5" customFormat="false" ht="68.65" hidden="false" customHeight="false" outlineLevel="0" collapsed="false">
      <c r="A5" s="19" t="n">
        <v>4</v>
      </c>
      <c r="B5" s="20" t="s">
        <v>7</v>
      </c>
      <c r="C5" s="20" t="s">
        <v>14</v>
      </c>
      <c r="D5" s="19" t="n">
        <v>2026</v>
      </c>
      <c r="E5" s="20" t="s">
        <v>81</v>
      </c>
      <c r="F5" s="21" t="s">
        <v>82</v>
      </c>
      <c r="G5" s="20" t="s">
        <v>83</v>
      </c>
      <c r="H5" s="19" t="n">
        <v>1</v>
      </c>
      <c r="I5" s="19" t="n">
        <v>1</v>
      </c>
      <c r="J5" s="19" t="n">
        <v>0.5</v>
      </c>
      <c r="K5" s="19" t="n">
        <v>1</v>
      </c>
      <c r="L5" s="19" t="n">
        <v>3.5</v>
      </c>
      <c r="M5" s="21" t="s">
        <v>84</v>
      </c>
      <c r="N5" s="21" t="s">
        <v>85</v>
      </c>
      <c r="O5" s="20" t="s">
        <v>86</v>
      </c>
      <c r="P5" s="21" t="s">
        <v>87</v>
      </c>
      <c r="Q5" s="21" t="s">
        <v>88</v>
      </c>
    </row>
    <row r="6" customFormat="false" ht="79.85" hidden="false" customHeight="false" outlineLevel="0" collapsed="false">
      <c r="A6" s="19" t="n">
        <v>5</v>
      </c>
      <c r="B6" s="20" t="s">
        <v>7</v>
      </c>
      <c r="C6" s="20" t="s">
        <v>14</v>
      </c>
      <c r="D6" s="19" t="n">
        <v>2019</v>
      </c>
      <c r="E6" s="20" t="s">
        <v>89</v>
      </c>
      <c r="F6" s="21" t="s">
        <v>90</v>
      </c>
      <c r="G6" s="20" t="s">
        <v>91</v>
      </c>
      <c r="H6" s="19" t="n">
        <v>1</v>
      </c>
      <c r="I6" s="19" t="n">
        <v>1</v>
      </c>
      <c r="J6" s="19" t="n">
        <v>1</v>
      </c>
      <c r="K6" s="19" t="n">
        <v>1</v>
      </c>
      <c r="L6" s="19" t="n">
        <v>4</v>
      </c>
      <c r="M6" s="21" t="s">
        <v>92</v>
      </c>
      <c r="N6" s="21" t="s">
        <v>93</v>
      </c>
      <c r="O6" s="20" t="s">
        <v>94</v>
      </c>
      <c r="P6" s="21" t="s">
        <v>95</v>
      </c>
      <c r="Q6" s="21" t="s">
        <v>96</v>
      </c>
    </row>
    <row r="7" customFormat="false" ht="91" hidden="false" customHeight="false" outlineLevel="0" collapsed="false">
      <c r="A7" s="19" t="n">
        <v>6</v>
      </c>
      <c r="B7" s="20" t="s">
        <v>7</v>
      </c>
      <c r="C7" s="20" t="s">
        <v>14</v>
      </c>
      <c r="D7" s="19" t="n">
        <v>2023</v>
      </c>
      <c r="E7" s="20" t="s">
        <v>97</v>
      </c>
      <c r="F7" s="21" t="s">
        <v>98</v>
      </c>
      <c r="G7" s="20" t="s">
        <v>99</v>
      </c>
      <c r="H7" s="19" t="n">
        <v>1</v>
      </c>
      <c r="I7" s="19" t="n">
        <v>1</v>
      </c>
      <c r="J7" s="19" t="n">
        <v>1</v>
      </c>
      <c r="K7" s="19" t="n">
        <v>1</v>
      </c>
      <c r="L7" s="19" t="n">
        <v>4</v>
      </c>
      <c r="M7" s="21" t="s">
        <v>76</v>
      </c>
      <c r="N7" s="21" t="s">
        <v>100</v>
      </c>
      <c r="O7" s="20" t="s">
        <v>101</v>
      </c>
      <c r="P7" s="21" t="s">
        <v>102</v>
      </c>
      <c r="Q7" s="21" t="s">
        <v>103</v>
      </c>
    </row>
    <row r="8" customFormat="false" ht="79.85" hidden="false" customHeight="false" outlineLevel="0" collapsed="false">
      <c r="A8" s="19" t="n">
        <v>7</v>
      </c>
      <c r="B8" s="20" t="s">
        <v>7</v>
      </c>
      <c r="C8" s="20" t="s">
        <v>14</v>
      </c>
      <c r="D8" s="19" t="n">
        <v>2019</v>
      </c>
      <c r="E8" s="20" t="s">
        <v>104</v>
      </c>
      <c r="F8" s="21" t="s">
        <v>105</v>
      </c>
      <c r="G8" s="20" t="s">
        <v>106</v>
      </c>
      <c r="H8" s="19" t="n">
        <v>1</v>
      </c>
      <c r="I8" s="19" t="n">
        <v>0.5</v>
      </c>
      <c r="J8" s="19" t="n">
        <v>0</v>
      </c>
      <c r="K8" s="19" t="n">
        <v>0.5</v>
      </c>
      <c r="L8" s="19" t="n">
        <v>2</v>
      </c>
      <c r="M8" s="21" t="s">
        <v>107</v>
      </c>
      <c r="N8" s="21" t="s">
        <v>108</v>
      </c>
      <c r="O8" s="20" t="s">
        <v>109</v>
      </c>
      <c r="P8" s="21" t="s">
        <v>110</v>
      </c>
      <c r="Q8" s="21" t="s">
        <v>111</v>
      </c>
    </row>
    <row r="9" customFormat="false" ht="57.45" hidden="false" customHeight="false" outlineLevel="0" collapsed="false">
      <c r="A9" s="19" t="n">
        <v>8</v>
      </c>
      <c r="B9" s="20" t="s">
        <v>7</v>
      </c>
      <c r="C9" s="20" t="s">
        <v>14</v>
      </c>
      <c r="D9" s="19" t="n">
        <v>2016</v>
      </c>
      <c r="E9" s="20" t="s">
        <v>112</v>
      </c>
      <c r="F9" s="21" t="s">
        <v>113</v>
      </c>
      <c r="G9" s="20" t="s">
        <v>114</v>
      </c>
      <c r="H9" s="19" t="n">
        <v>1</v>
      </c>
      <c r="I9" s="19" t="n">
        <v>1</v>
      </c>
      <c r="J9" s="19" t="n">
        <v>1</v>
      </c>
      <c r="K9" s="19" t="n">
        <v>1</v>
      </c>
      <c r="L9" s="19" t="n">
        <v>4</v>
      </c>
      <c r="M9" s="21" t="s">
        <v>115</v>
      </c>
      <c r="N9" s="21" t="s">
        <v>116</v>
      </c>
      <c r="O9" s="20" t="s">
        <v>117</v>
      </c>
      <c r="P9" s="21" t="s">
        <v>118</v>
      </c>
      <c r="Q9" s="21" t="s">
        <v>119</v>
      </c>
    </row>
    <row r="10" customFormat="false" ht="68.65" hidden="false" customHeight="false" outlineLevel="0" collapsed="false">
      <c r="A10" s="19" t="n">
        <v>9</v>
      </c>
      <c r="B10" s="20" t="s">
        <v>7</v>
      </c>
      <c r="C10" s="20" t="s">
        <v>14</v>
      </c>
      <c r="D10" s="19" t="n">
        <v>2018</v>
      </c>
      <c r="E10" s="20" t="s">
        <v>120</v>
      </c>
      <c r="F10" s="21" t="s">
        <v>121</v>
      </c>
      <c r="G10" s="20" t="s">
        <v>122</v>
      </c>
      <c r="H10" s="19" t="n">
        <v>1</v>
      </c>
      <c r="I10" s="19" t="n">
        <v>1</v>
      </c>
      <c r="J10" s="19" t="n">
        <v>0</v>
      </c>
      <c r="K10" s="19" t="n">
        <v>1</v>
      </c>
      <c r="L10" s="19" t="n">
        <v>3</v>
      </c>
      <c r="M10" s="21" t="s">
        <v>123</v>
      </c>
      <c r="N10" s="21" t="s">
        <v>124</v>
      </c>
      <c r="O10" s="20" t="s">
        <v>125</v>
      </c>
      <c r="P10" s="21" t="s">
        <v>126</v>
      </c>
      <c r="Q10" s="21" t="s">
        <v>127</v>
      </c>
    </row>
    <row r="11" customFormat="false" ht="68.65" hidden="false" customHeight="false" outlineLevel="0" collapsed="false">
      <c r="A11" s="19" t="n">
        <v>10</v>
      </c>
      <c r="B11" s="20" t="s">
        <v>7</v>
      </c>
      <c r="C11" s="20" t="s">
        <v>14</v>
      </c>
      <c r="D11" s="19" t="n">
        <v>2023</v>
      </c>
      <c r="E11" s="20" t="s">
        <v>128</v>
      </c>
      <c r="F11" s="21" t="s">
        <v>129</v>
      </c>
      <c r="G11" s="20" t="s">
        <v>130</v>
      </c>
      <c r="H11" s="19" t="n">
        <v>1</v>
      </c>
      <c r="I11" s="19" t="n">
        <v>0.5</v>
      </c>
      <c r="J11" s="19" t="n">
        <v>1</v>
      </c>
      <c r="K11" s="19" t="n">
        <v>0.5</v>
      </c>
      <c r="L11" s="19" t="n">
        <v>3</v>
      </c>
      <c r="M11" s="21" t="s">
        <v>131</v>
      </c>
      <c r="N11" s="21" t="s">
        <v>132</v>
      </c>
      <c r="O11" s="20" t="s">
        <v>76</v>
      </c>
      <c r="P11" s="21" t="s">
        <v>133</v>
      </c>
      <c r="Q11" s="21" t="s">
        <v>134</v>
      </c>
    </row>
    <row r="12" customFormat="false" ht="79.85" hidden="false" customHeight="false" outlineLevel="0" collapsed="false">
      <c r="A12" s="19" t="n">
        <v>11</v>
      </c>
      <c r="B12" s="20" t="s">
        <v>7</v>
      </c>
      <c r="C12" s="20" t="s">
        <v>135</v>
      </c>
      <c r="D12" s="19" t="n">
        <v>2026</v>
      </c>
      <c r="E12" s="20" t="s">
        <v>136</v>
      </c>
      <c r="F12" s="21" t="s">
        <v>137</v>
      </c>
      <c r="G12" s="20" t="s">
        <v>138</v>
      </c>
      <c r="H12" s="19" t="n">
        <v>1</v>
      </c>
      <c r="I12" s="19" t="n">
        <v>1</v>
      </c>
      <c r="J12" s="19" t="n">
        <v>1</v>
      </c>
      <c r="K12" s="19" t="n">
        <v>1</v>
      </c>
      <c r="L12" s="19" t="n">
        <v>4</v>
      </c>
      <c r="M12" s="21" t="s">
        <v>76</v>
      </c>
      <c r="N12" s="21" t="s">
        <v>139</v>
      </c>
      <c r="O12" s="20" t="s">
        <v>140</v>
      </c>
      <c r="P12" s="21" t="s">
        <v>141</v>
      </c>
      <c r="Q12" s="21" t="s">
        <v>142</v>
      </c>
    </row>
    <row r="13" customFormat="false" ht="68.65" hidden="false" customHeight="false" outlineLevel="0" collapsed="false">
      <c r="A13" s="19" t="n">
        <v>12</v>
      </c>
      <c r="B13" s="20" t="s">
        <v>7</v>
      </c>
      <c r="C13" s="20" t="s">
        <v>135</v>
      </c>
      <c r="D13" s="19" t="n">
        <v>2023</v>
      </c>
      <c r="E13" s="20" t="s">
        <v>143</v>
      </c>
      <c r="F13" s="21" t="s">
        <v>144</v>
      </c>
      <c r="G13" s="20" t="s">
        <v>145</v>
      </c>
      <c r="H13" s="19" t="n">
        <v>1</v>
      </c>
      <c r="I13" s="19" t="n">
        <v>1</v>
      </c>
      <c r="J13" s="19" t="n">
        <v>1</v>
      </c>
      <c r="K13" s="19" t="n">
        <v>1</v>
      </c>
      <c r="L13" s="19" t="n">
        <v>4</v>
      </c>
      <c r="M13" s="21" t="s">
        <v>146</v>
      </c>
      <c r="N13" s="21" t="s">
        <v>147</v>
      </c>
      <c r="O13" s="20" t="s">
        <v>148</v>
      </c>
      <c r="P13" s="21" t="s">
        <v>149</v>
      </c>
      <c r="Q13" s="21" t="s">
        <v>150</v>
      </c>
    </row>
    <row r="14" customFormat="false" ht="79.85" hidden="false" customHeight="false" outlineLevel="0" collapsed="false">
      <c r="A14" s="19" t="n">
        <v>13</v>
      </c>
      <c r="B14" s="20" t="s">
        <v>7</v>
      </c>
      <c r="C14" s="20" t="s">
        <v>14</v>
      </c>
      <c r="D14" s="19" t="n">
        <v>2023</v>
      </c>
      <c r="E14" s="20" t="s">
        <v>151</v>
      </c>
      <c r="F14" s="21" t="s">
        <v>152</v>
      </c>
      <c r="G14" s="20" t="s">
        <v>153</v>
      </c>
      <c r="H14" s="19" t="n">
        <v>1</v>
      </c>
      <c r="I14" s="19" t="n">
        <v>0.5</v>
      </c>
      <c r="J14" s="19" t="n">
        <v>0</v>
      </c>
      <c r="K14" s="19" t="n">
        <v>0.5</v>
      </c>
      <c r="L14" s="19" t="n">
        <v>2</v>
      </c>
      <c r="M14" s="21" t="s">
        <v>154</v>
      </c>
      <c r="N14" s="21" t="s">
        <v>155</v>
      </c>
      <c r="O14" s="20" t="s">
        <v>76</v>
      </c>
      <c r="P14" s="21" t="s">
        <v>156</v>
      </c>
      <c r="Q14" s="21" t="s">
        <v>157</v>
      </c>
    </row>
    <row r="15" customFormat="false" ht="79.85" hidden="false" customHeight="false" outlineLevel="0" collapsed="false">
      <c r="A15" s="19" t="n">
        <v>14</v>
      </c>
      <c r="B15" s="20" t="s">
        <v>7</v>
      </c>
      <c r="C15" s="20" t="s">
        <v>135</v>
      </c>
      <c r="D15" s="19" t="n">
        <v>2023</v>
      </c>
      <c r="E15" s="20" t="s">
        <v>158</v>
      </c>
      <c r="F15" s="21" t="s">
        <v>159</v>
      </c>
      <c r="G15" s="20" t="s">
        <v>160</v>
      </c>
      <c r="H15" s="19" t="n">
        <v>1</v>
      </c>
      <c r="I15" s="19" t="n">
        <v>1</v>
      </c>
      <c r="J15" s="19" t="n">
        <v>0.5</v>
      </c>
      <c r="K15" s="19" t="n">
        <v>1</v>
      </c>
      <c r="L15" s="19" t="n">
        <v>3.5</v>
      </c>
      <c r="M15" s="21" t="s">
        <v>161</v>
      </c>
      <c r="N15" s="21" t="s">
        <v>162</v>
      </c>
      <c r="O15" s="20" t="s">
        <v>163</v>
      </c>
      <c r="P15" s="21" t="s">
        <v>164</v>
      </c>
      <c r="Q15" s="21" t="s">
        <v>165</v>
      </c>
    </row>
    <row r="16" customFormat="false" ht="68.65" hidden="false" customHeight="false" outlineLevel="0" collapsed="false">
      <c r="A16" s="19" t="n">
        <v>15</v>
      </c>
      <c r="B16" s="20" t="s">
        <v>7</v>
      </c>
      <c r="C16" s="20" t="s">
        <v>135</v>
      </c>
      <c r="D16" s="19" t="n">
        <v>2023</v>
      </c>
      <c r="E16" s="20" t="s">
        <v>166</v>
      </c>
      <c r="F16" s="21" t="s">
        <v>167</v>
      </c>
      <c r="G16" s="20" t="s">
        <v>168</v>
      </c>
      <c r="H16" s="19" t="n">
        <v>1</v>
      </c>
      <c r="I16" s="19" t="n">
        <v>1</v>
      </c>
      <c r="J16" s="19" t="n">
        <v>0.5</v>
      </c>
      <c r="K16" s="19" t="n">
        <v>1</v>
      </c>
      <c r="L16" s="19" t="n">
        <v>3.5</v>
      </c>
      <c r="M16" s="21" t="s">
        <v>169</v>
      </c>
      <c r="N16" s="21" t="s">
        <v>170</v>
      </c>
      <c r="O16" s="20" t="s">
        <v>171</v>
      </c>
      <c r="P16" s="21" t="s">
        <v>172</v>
      </c>
      <c r="Q16" s="21" t="s">
        <v>173</v>
      </c>
    </row>
    <row r="17" customFormat="false" ht="79.85" hidden="false" customHeight="false" outlineLevel="0" collapsed="false">
      <c r="A17" s="19" t="n">
        <v>16</v>
      </c>
      <c r="B17" s="20" t="s">
        <v>7</v>
      </c>
      <c r="C17" s="20" t="s">
        <v>135</v>
      </c>
      <c r="D17" s="19" t="n">
        <v>2026</v>
      </c>
      <c r="E17" s="20" t="s">
        <v>174</v>
      </c>
      <c r="F17" s="21" t="s">
        <v>175</v>
      </c>
      <c r="G17" s="20" t="s">
        <v>176</v>
      </c>
      <c r="H17" s="19" t="n">
        <v>1</v>
      </c>
      <c r="I17" s="19" t="n">
        <v>0.5</v>
      </c>
      <c r="J17" s="19" t="n">
        <v>1</v>
      </c>
      <c r="K17" s="19" t="n">
        <v>0.5</v>
      </c>
      <c r="L17" s="19" t="n">
        <v>3</v>
      </c>
      <c r="M17" s="21" t="s">
        <v>177</v>
      </c>
      <c r="N17" s="21" t="s">
        <v>178</v>
      </c>
      <c r="O17" s="20" t="s">
        <v>179</v>
      </c>
      <c r="P17" s="21" t="s">
        <v>180</v>
      </c>
      <c r="Q17" s="21" t="s">
        <v>181</v>
      </c>
    </row>
    <row r="18" customFormat="false" ht="91" hidden="false" customHeight="false" outlineLevel="0" collapsed="false">
      <c r="A18" s="19" t="n">
        <v>17</v>
      </c>
      <c r="B18" s="20" t="s">
        <v>7</v>
      </c>
      <c r="C18" s="20" t="s">
        <v>135</v>
      </c>
      <c r="D18" s="19" t="n">
        <v>2019</v>
      </c>
      <c r="E18" s="20" t="s">
        <v>182</v>
      </c>
      <c r="F18" s="21" t="s">
        <v>183</v>
      </c>
      <c r="G18" s="20" t="s">
        <v>184</v>
      </c>
      <c r="H18" s="19" t="n">
        <v>1</v>
      </c>
      <c r="I18" s="19" t="n">
        <v>1</v>
      </c>
      <c r="J18" s="19" t="n">
        <v>0.5</v>
      </c>
      <c r="K18" s="19" t="n">
        <v>1</v>
      </c>
      <c r="L18" s="19" t="n">
        <v>3.5</v>
      </c>
      <c r="M18" s="21" t="s">
        <v>185</v>
      </c>
      <c r="N18" s="21" t="s">
        <v>186</v>
      </c>
      <c r="O18" s="20" t="s">
        <v>187</v>
      </c>
      <c r="P18" s="21" t="s">
        <v>188</v>
      </c>
      <c r="Q18" s="21" t="s">
        <v>189</v>
      </c>
    </row>
    <row r="19" customFormat="false" ht="79.85" hidden="false" customHeight="false" outlineLevel="0" collapsed="false">
      <c r="A19" s="19" t="n">
        <v>18</v>
      </c>
      <c r="B19" s="20" t="s">
        <v>7</v>
      </c>
      <c r="C19" s="20" t="s">
        <v>135</v>
      </c>
      <c r="D19" s="19" t="n">
        <v>2023</v>
      </c>
      <c r="E19" s="20" t="s">
        <v>190</v>
      </c>
      <c r="F19" s="21" t="s">
        <v>191</v>
      </c>
      <c r="G19" s="20" t="s">
        <v>192</v>
      </c>
      <c r="H19" s="19" t="n">
        <v>1</v>
      </c>
      <c r="I19" s="19" t="n">
        <v>1</v>
      </c>
      <c r="J19" s="19" t="n">
        <v>1</v>
      </c>
      <c r="K19" s="19" t="n">
        <v>1</v>
      </c>
      <c r="L19" s="19" t="n">
        <v>4</v>
      </c>
      <c r="M19" s="21" t="s">
        <v>76</v>
      </c>
      <c r="N19" s="21" t="s">
        <v>193</v>
      </c>
      <c r="O19" s="20" t="s">
        <v>194</v>
      </c>
      <c r="P19" s="21" t="s">
        <v>195</v>
      </c>
      <c r="Q19" s="21" t="s">
        <v>196</v>
      </c>
    </row>
    <row r="20" customFormat="false" ht="79.85" hidden="false" customHeight="false" outlineLevel="0" collapsed="false">
      <c r="A20" s="19" t="n">
        <v>19</v>
      </c>
      <c r="B20" s="20" t="s">
        <v>7</v>
      </c>
      <c r="C20" s="20" t="s">
        <v>135</v>
      </c>
      <c r="D20" s="19" t="n">
        <v>2018</v>
      </c>
      <c r="E20" s="20" t="s">
        <v>197</v>
      </c>
      <c r="F20" s="21" t="s">
        <v>198</v>
      </c>
      <c r="G20" s="20" t="s">
        <v>199</v>
      </c>
      <c r="H20" s="19" t="n">
        <v>1</v>
      </c>
      <c r="I20" s="19" t="n">
        <v>1</v>
      </c>
      <c r="J20" s="19" t="n">
        <v>1</v>
      </c>
      <c r="K20" s="19" t="n">
        <v>1</v>
      </c>
      <c r="L20" s="19" t="n">
        <v>4</v>
      </c>
      <c r="M20" s="21" t="s">
        <v>200</v>
      </c>
      <c r="N20" s="21" t="s">
        <v>201</v>
      </c>
      <c r="O20" s="20" t="s">
        <v>202</v>
      </c>
      <c r="P20" s="21" t="s">
        <v>203</v>
      </c>
      <c r="Q20" s="21" t="s">
        <v>204</v>
      </c>
    </row>
    <row r="21" customFormat="false" ht="79.85" hidden="false" customHeight="false" outlineLevel="0" collapsed="false">
      <c r="A21" s="19" t="n">
        <v>20</v>
      </c>
      <c r="B21" s="20" t="s">
        <v>7</v>
      </c>
      <c r="C21" s="20" t="s">
        <v>14</v>
      </c>
      <c r="D21" s="19" t="n">
        <v>2017</v>
      </c>
      <c r="E21" s="20" t="s">
        <v>205</v>
      </c>
      <c r="F21" s="21" t="s">
        <v>206</v>
      </c>
      <c r="G21" s="20" t="s">
        <v>207</v>
      </c>
      <c r="H21" s="19" t="n">
        <v>1</v>
      </c>
      <c r="I21" s="19" t="n">
        <v>1</v>
      </c>
      <c r="J21" s="19" t="n">
        <v>1</v>
      </c>
      <c r="K21" s="19" t="n">
        <v>1</v>
      </c>
      <c r="L21" s="19" t="n">
        <v>4</v>
      </c>
      <c r="M21" s="21" t="s">
        <v>208</v>
      </c>
      <c r="N21" s="21" t="s">
        <v>209</v>
      </c>
      <c r="O21" s="20" t="s">
        <v>76</v>
      </c>
      <c r="P21" s="21" t="s">
        <v>210</v>
      </c>
      <c r="Q21" s="21" t="s">
        <v>211</v>
      </c>
    </row>
    <row r="22" customFormat="false" ht="79.85" hidden="false" customHeight="false" outlineLevel="0" collapsed="false">
      <c r="A22" s="19" t="n">
        <v>21</v>
      </c>
      <c r="B22" s="20" t="s">
        <v>7</v>
      </c>
      <c r="C22" s="20" t="s">
        <v>135</v>
      </c>
      <c r="D22" s="19" t="n">
        <v>2018</v>
      </c>
      <c r="E22" s="20" t="s">
        <v>212</v>
      </c>
      <c r="F22" s="21" t="s">
        <v>213</v>
      </c>
      <c r="G22" s="20" t="s">
        <v>214</v>
      </c>
      <c r="H22" s="19" t="n">
        <v>1</v>
      </c>
      <c r="I22" s="19" t="n">
        <v>1</v>
      </c>
      <c r="J22" s="19" t="n">
        <v>1</v>
      </c>
      <c r="K22" s="19" t="n">
        <v>1</v>
      </c>
      <c r="L22" s="19" t="n">
        <v>4</v>
      </c>
      <c r="M22" s="21" t="s">
        <v>215</v>
      </c>
      <c r="N22" s="21" t="s">
        <v>216</v>
      </c>
      <c r="O22" s="20" t="s">
        <v>217</v>
      </c>
      <c r="P22" s="21" t="s">
        <v>218</v>
      </c>
      <c r="Q22" s="21" t="s">
        <v>219</v>
      </c>
    </row>
    <row r="23" customFormat="false" ht="79.85" hidden="false" customHeight="false" outlineLevel="0" collapsed="false">
      <c r="A23" s="19" t="n">
        <v>22</v>
      </c>
      <c r="B23" s="20" t="s">
        <v>7</v>
      </c>
      <c r="C23" s="20" t="s">
        <v>135</v>
      </c>
      <c r="D23" s="19" t="n">
        <v>2026</v>
      </c>
      <c r="E23" s="20" t="s">
        <v>220</v>
      </c>
      <c r="F23" s="21" t="s">
        <v>221</v>
      </c>
      <c r="G23" s="20" t="s">
        <v>222</v>
      </c>
      <c r="H23" s="19" t="n">
        <v>1</v>
      </c>
      <c r="I23" s="19" t="n">
        <v>1</v>
      </c>
      <c r="J23" s="19" t="n">
        <v>1</v>
      </c>
      <c r="K23" s="19" t="n">
        <v>1</v>
      </c>
      <c r="L23" s="19" t="n">
        <v>4</v>
      </c>
      <c r="M23" s="21" t="s">
        <v>76</v>
      </c>
      <c r="N23" s="21" t="s">
        <v>223</v>
      </c>
      <c r="O23" s="20" t="s">
        <v>224</v>
      </c>
      <c r="P23" s="21" t="s">
        <v>225</v>
      </c>
      <c r="Q23" s="21" t="s">
        <v>226</v>
      </c>
    </row>
    <row r="24" customFormat="false" ht="79.85" hidden="false" customHeight="false" outlineLevel="0" collapsed="false">
      <c r="A24" s="19" t="n">
        <v>23</v>
      </c>
      <c r="B24" s="20" t="s">
        <v>7</v>
      </c>
      <c r="C24" s="20" t="s">
        <v>14</v>
      </c>
      <c r="D24" s="19" t="n">
        <v>2015</v>
      </c>
      <c r="E24" s="20" t="s">
        <v>227</v>
      </c>
      <c r="F24" s="21" t="s">
        <v>228</v>
      </c>
      <c r="G24" s="20" t="s">
        <v>229</v>
      </c>
      <c r="H24" s="19" t="n">
        <v>1</v>
      </c>
      <c r="I24" s="19" t="n">
        <v>1</v>
      </c>
      <c r="J24" s="19" t="n">
        <v>1</v>
      </c>
      <c r="K24" s="19" t="n">
        <v>1</v>
      </c>
      <c r="L24" s="19" t="n">
        <v>4</v>
      </c>
      <c r="M24" s="21" t="s">
        <v>230</v>
      </c>
      <c r="N24" s="21" t="s">
        <v>231</v>
      </c>
      <c r="O24" s="20" t="s">
        <v>232</v>
      </c>
      <c r="P24" s="21" t="s">
        <v>233</v>
      </c>
      <c r="Q24" s="21" t="s">
        <v>234</v>
      </c>
    </row>
    <row r="25" customFormat="false" ht="79.85" hidden="false" customHeight="false" outlineLevel="0" collapsed="false">
      <c r="A25" s="19" t="n">
        <v>24</v>
      </c>
      <c r="B25" s="20" t="s">
        <v>7</v>
      </c>
      <c r="C25" s="20" t="s">
        <v>14</v>
      </c>
      <c r="D25" s="19" t="n">
        <v>2019</v>
      </c>
      <c r="E25" s="20" t="s">
        <v>235</v>
      </c>
      <c r="F25" s="21" t="s">
        <v>236</v>
      </c>
      <c r="G25" s="20" t="s">
        <v>237</v>
      </c>
      <c r="H25" s="19" t="n">
        <v>1</v>
      </c>
      <c r="I25" s="19" t="n">
        <v>1</v>
      </c>
      <c r="J25" s="19" t="n">
        <v>1</v>
      </c>
      <c r="K25" s="19" t="n">
        <v>1</v>
      </c>
      <c r="L25" s="19" t="n">
        <v>4</v>
      </c>
      <c r="M25" s="21" t="s">
        <v>238</v>
      </c>
      <c r="N25" s="21" t="s">
        <v>239</v>
      </c>
      <c r="O25" s="20" t="s">
        <v>240</v>
      </c>
      <c r="P25" s="21" t="s">
        <v>241</v>
      </c>
      <c r="Q25" s="21" t="s">
        <v>242</v>
      </c>
    </row>
    <row r="26" customFormat="false" ht="79.85" hidden="false" customHeight="false" outlineLevel="0" collapsed="false">
      <c r="A26" s="19" t="n">
        <v>25</v>
      </c>
      <c r="B26" s="20" t="s">
        <v>7</v>
      </c>
      <c r="C26" s="20" t="s">
        <v>14</v>
      </c>
      <c r="D26" s="19" t="n">
        <v>2018</v>
      </c>
      <c r="E26" s="20" t="s">
        <v>243</v>
      </c>
      <c r="F26" s="21" t="s">
        <v>244</v>
      </c>
      <c r="G26" s="20" t="s">
        <v>245</v>
      </c>
      <c r="H26" s="19" t="n">
        <v>1</v>
      </c>
      <c r="I26" s="19" t="n">
        <v>1</v>
      </c>
      <c r="J26" s="19" t="n">
        <v>1</v>
      </c>
      <c r="K26" s="19" t="n">
        <v>1</v>
      </c>
      <c r="L26" s="19" t="n">
        <v>4</v>
      </c>
      <c r="M26" s="21" t="s">
        <v>246</v>
      </c>
      <c r="N26" s="21" t="s">
        <v>247</v>
      </c>
      <c r="O26" s="20" t="s">
        <v>248</v>
      </c>
      <c r="P26" s="21" t="s">
        <v>249</v>
      </c>
      <c r="Q26" s="21" t="s">
        <v>250</v>
      </c>
    </row>
    <row r="27" customFormat="false" ht="79.85" hidden="false" customHeight="false" outlineLevel="0" collapsed="false">
      <c r="A27" s="19" t="n">
        <v>26</v>
      </c>
      <c r="B27" s="20" t="s">
        <v>7</v>
      </c>
      <c r="C27" s="20" t="s">
        <v>14</v>
      </c>
      <c r="D27" s="19" t="n">
        <v>2025</v>
      </c>
      <c r="E27" s="20" t="s">
        <v>251</v>
      </c>
      <c r="F27" s="21" t="s">
        <v>252</v>
      </c>
      <c r="G27" s="20" t="s">
        <v>253</v>
      </c>
      <c r="H27" s="19" t="n">
        <v>1</v>
      </c>
      <c r="I27" s="19" t="n">
        <v>0.5</v>
      </c>
      <c r="J27" s="19" t="n">
        <v>1</v>
      </c>
      <c r="K27" s="19" t="n">
        <v>1</v>
      </c>
      <c r="L27" s="19" t="n">
        <v>3.5</v>
      </c>
      <c r="M27" s="21" t="s">
        <v>76</v>
      </c>
      <c r="N27" s="21" t="s">
        <v>254</v>
      </c>
      <c r="O27" s="20" t="s">
        <v>255</v>
      </c>
      <c r="P27" s="21" t="s">
        <v>256</v>
      </c>
      <c r="Q27" s="21" t="s">
        <v>257</v>
      </c>
    </row>
    <row r="28" customFormat="false" ht="57.45" hidden="false" customHeight="false" outlineLevel="0" collapsed="false">
      <c r="A28" s="19" t="n">
        <v>27</v>
      </c>
      <c r="B28" s="20" t="s">
        <v>7</v>
      </c>
      <c r="C28" s="20" t="s">
        <v>135</v>
      </c>
      <c r="D28" s="19" t="n">
        <v>2021</v>
      </c>
      <c r="E28" s="20" t="s">
        <v>258</v>
      </c>
      <c r="F28" s="21" t="s">
        <v>259</v>
      </c>
      <c r="G28" s="20" t="s">
        <v>260</v>
      </c>
      <c r="H28" s="19" t="n">
        <v>1</v>
      </c>
      <c r="I28" s="19" t="n">
        <v>1</v>
      </c>
      <c r="J28" s="19" t="n">
        <v>0.5</v>
      </c>
      <c r="K28" s="19" t="n">
        <v>0.5</v>
      </c>
      <c r="L28" s="19" t="n">
        <v>3</v>
      </c>
      <c r="M28" s="21" t="s">
        <v>261</v>
      </c>
      <c r="N28" s="21" t="s">
        <v>262</v>
      </c>
      <c r="O28" s="20" t="s">
        <v>263</v>
      </c>
      <c r="P28" s="21" t="s">
        <v>264</v>
      </c>
      <c r="Q28" s="21" t="s">
        <v>265</v>
      </c>
    </row>
    <row r="29" customFormat="false" ht="79.85" hidden="false" customHeight="false" outlineLevel="0" collapsed="false">
      <c r="A29" s="19" t="n">
        <v>28</v>
      </c>
      <c r="B29" s="20" t="s">
        <v>7</v>
      </c>
      <c r="C29" s="20" t="s">
        <v>135</v>
      </c>
      <c r="D29" s="19" t="n">
        <v>2016</v>
      </c>
      <c r="E29" s="20" t="s">
        <v>266</v>
      </c>
      <c r="F29" s="21" t="s">
        <v>267</v>
      </c>
      <c r="G29" s="20" t="s">
        <v>268</v>
      </c>
      <c r="H29" s="19" t="n">
        <v>1</v>
      </c>
      <c r="I29" s="19" t="n">
        <v>1</v>
      </c>
      <c r="J29" s="19" t="n">
        <v>0.5</v>
      </c>
      <c r="K29" s="19" t="n">
        <v>0.5</v>
      </c>
      <c r="L29" s="19" t="n">
        <v>3</v>
      </c>
      <c r="M29" s="21" t="s">
        <v>269</v>
      </c>
      <c r="N29" s="21" t="s">
        <v>270</v>
      </c>
      <c r="O29" s="20" t="s">
        <v>271</v>
      </c>
      <c r="P29" s="21" t="s">
        <v>272</v>
      </c>
      <c r="Q29" s="21" t="s">
        <v>273</v>
      </c>
    </row>
    <row r="30" customFormat="false" ht="91" hidden="false" customHeight="false" outlineLevel="0" collapsed="false">
      <c r="A30" s="19" t="n">
        <v>29</v>
      </c>
      <c r="B30" s="20" t="s">
        <v>7</v>
      </c>
      <c r="C30" s="20" t="s">
        <v>135</v>
      </c>
      <c r="D30" s="19" t="n">
        <v>2025</v>
      </c>
      <c r="E30" s="20" t="s">
        <v>274</v>
      </c>
      <c r="F30" s="21" t="s">
        <v>275</v>
      </c>
      <c r="G30" s="20" t="s">
        <v>276</v>
      </c>
      <c r="H30" s="19" t="n">
        <v>1</v>
      </c>
      <c r="I30" s="19" t="n">
        <v>1</v>
      </c>
      <c r="J30" s="19" t="n">
        <v>0.5</v>
      </c>
      <c r="K30" s="19" t="n">
        <v>1</v>
      </c>
      <c r="L30" s="19" t="n">
        <v>3.5</v>
      </c>
      <c r="M30" s="21" t="s">
        <v>277</v>
      </c>
      <c r="N30" s="21" t="s">
        <v>278</v>
      </c>
      <c r="O30" s="20" t="s">
        <v>279</v>
      </c>
      <c r="P30" s="21" t="s">
        <v>280</v>
      </c>
      <c r="Q30" s="21" t="s">
        <v>281</v>
      </c>
    </row>
    <row r="31" customFormat="false" ht="79.85" hidden="false" customHeight="false" outlineLevel="0" collapsed="false">
      <c r="A31" s="19" t="n">
        <v>30</v>
      </c>
      <c r="B31" s="20" t="s">
        <v>7</v>
      </c>
      <c r="C31" s="20" t="s">
        <v>135</v>
      </c>
      <c r="D31" s="19" t="n">
        <v>2022</v>
      </c>
      <c r="E31" s="20" t="s">
        <v>282</v>
      </c>
      <c r="F31" s="21" t="s">
        <v>283</v>
      </c>
      <c r="G31" s="20" t="s">
        <v>284</v>
      </c>
      <c r="H31" s="19" t="n">
        <v>1</v>
      </c>
      <c r="I31" s="19" t="n">
        <v>1</v>
      </c>
      <c r="J31" s="19" t="n">
        <v>0.5</v>
      </c>
      <c r="K31" s="19" t="n">
        <v>1</v>
      </c>
      <c r="L31" s="19" t="n">
        <v>3.5</v>
      </c>
      <c r="M31" s="21" t="s">
        <v>285</v>
      </c>
      <c r="N31" s="21" t="s">
        <v>286</v>
      </c>
      <c r="O31" s="20" t="s">
        <v>287</v>
      </c>
      <c r="P31" s="21" t="s">
        <v>288</v>
      </c>
      <c r="Q31" s="21" t="s">
        <v>289</v>
      </c>
    </row>
    <row r="32" customFormat="false" ht="57.45" hidden="false" customHeight="false" outlineLevel="0" collapsed="false">
      <c r="A32" s="19" t="n">
        <v>31</v>
      </c>
      <c r="B32" s="20" t="s">
        <v>7</v>
      </c>
      <c r="C32" s="20" t="s">
        <v>14</v>
      </c>
      <c r="D32" s="19" t="n">
        <v>2025</v>
      </c>
      <c r="E32" s="20" t="s">
        <v>290</v>
      </c>
      <c r="F32" s="21" t="s">
        <v>291</v>
      </c>
      <c r="G32" s="20" t="s">
        <v>292</v>
      </c>
      <c r="H32" s="19" t="n">
        <v>1</v>
      </c>
      <c r="I32" s="19" t="n">
        <v>0.5</v>
      </c>
      <c r="J32" s="19" t="n">
        <v>0.5</v>
      </c>
      <c r="K32" s="19" t="n">
        <v>1</v>
      </c>
      <c r="L32" s="19" t="n">
        <v>3</v>
      </c>
      <c r="M32" s="21" t="s">
        <v>76</v>
      </c>
      <c r="N32" s="21" t="s">
        <v>293</v>
      </c>
      <c r="O32" s="20" t="s">
        <v>76</v>
      </c>
      <c r="P32" s="21" t="s">
        <v>294</v>
      </c>
      <c r="Q32" s="21" t="s">
        <v>295</v>
      </c>
    </row>
    <row r="33" customFormat="false" ht="91" hidden="false" customHeight="false" outlineLevel="0" collapsed="false">
      <c r="A33" s="19" t="n">
        <v>32</v>
      </c>
      <c r="B33" s="20" t="s">
        <v>7</v>
      </c>
      <c r="C33" s="20" t="s">
        <v>14</v>
      </c>
      <c r="D33" s="19" t="n">
        <v>2019</v>
      </c>
      <c r="E33" s="20" t="s">
        <v>296</v>
      </c>
      <c r="F33" s="21" t="s">
        <v>297</v>
      </c>
      <c r="G33" s="20" t="s">
        <v>298</v>
      </c>
      <c r="H33" s="19" t="n">
        <v>1</v>
      </c>
      <c r="I33" s="19" t="n">
        <v>1</v>
      </c>
      <c r="J33" s="19" t="n">
        <v>1</v>
      </c>
      <c r="K33" s="19" t="n">
        <v>1</v>
      </c>
      <c r="L33" s="19" t="n">
        <v>4</v>
      </c>
      <c r="M33" s="21" t="s">
        <v>76</v>
      </c>
      <c r="N33" s="21" t="s">
        <v>299</v>
      </c>
      <c r="O33" s="20" t="s">
        <v>300</v>
      </c>
      <c r="P33" s="21" t="s">
        <v>301</v>
      </c>
      <c r="Q33" s="21" t="s">
        <v>302</v>
      </c>
    </row>
    <row r="34" customFormat="false" ht="57.45" hidden="false" customHeight="false" outlineLevel="0" collapsed="false">
      <c r="A34" s="19" t="n">
        <v>33</v>
      </c>
      <c r="B34" s="20" t="s">
        <v>7</v>
      </c>
      <c r="C34" s="20" t="s">
        <v>14</v>
      </c>
      <c r="D34" s="19" t="n">
        <v>2021</v>
      </c>
      <c r="E34" s="20" t="s">
        <v>303</v>
      </c>
      <c r="F34" s="21" t="s">
        <v>304</v>
      </c>
      <c r="G34" s="20" t="s">
        <v>305</v>
      </c>
      <c r="H34" s="19" t="n">
        <v>1</v>
      </c>
      <c r="I34" s="19" t="n">
        <v>0.5</v>
      </c>
      <c r="J34" s="19" t="n">
        <v>0</v>
      </c>
      <c r="K34" s="19" t="n">
        <v>0.5</v>
      </c>
      <c r="L34" s="19" t="n">
        <v>2</v>
      </c>
      <c r="M34" s="21" t="s">
        <v>306</v>
      </c>
      <c r="N34" s="21" t="s">
        <v>307</v>
      </c>
      <c r="O34" s="20" t="s">
        <v>308</v>
      </c>
      <c r="P34" s="21" t="s">
        <v>309</v>
      </c>
      <c r="Q34" s="21" t="s">
        <v>310</v>
      </c>
    </row>
    <row r="35" customFormat="false" ht="79.85" hidden="false" customHeight="false" outlineLevel="0" collapsed="false">
      <c r="A35" s="19" t="n">
        <v>34</v>
      </c>
      <c r="B35" s="20" t="s">
        <v>7</v>
      </c>
      <c r="C35" s="20" t="s">
        <v>135</v>
      </c>
      <c r="D35" s="19" t="n">
        <v>2024</v>
      </c>
      <c r="E35" s="20" t="s">
        <v>311</v>
      </c>
      <c r="F35" s="21" t="s">
        <v>312</v>
      </c>
      <c r="G35" s="20" t="s">
        <v>313</v>
      </c>
      <c r="H35" s="19" t="n">
        <v>1</v>
      </c>
      <c r="I35" s="19" t="n">
        <v>1</v>
      </c>
      <c r="J35" s="19" t="n">
        <v>1</v>
      </c>
      <c r="K35" s="19" t="n">
        <v>1</v>
      </c>
      <c r="L35" s="19" t="n">
        <v>4</v>
      </c>
      <c r="M35" s="21" t="s">
        <v>314</v>
      </c>
      <c r="N35" s="21" t="s">
        <v>315</v>
      </c>
      <c r="O35" s="20" t="s">
        <v>76</v>
      </c>
      <c r="P35" s="21" t="s">
        <v>316</v>
      </c>
      <c r="Q35" s="21" t="s">
        <v>317</v>
      </c>
    </row>
    <row r="36" customFormat="false" ht="68.65" hidden="false" customHeight="false" outlineLevel="0" collapsed="false">
      <c r="A36" s="19" t="n">
        <v>35</v>
      </c>
      <c r="B36" s="20" t="s">
        <v>7</v>
      </c>
      <c r="C36" s="20" t="s">
        <v>14</v>
      </c>
      <c r="D36" s="19" t="n">
        <v>2023</v>
      </c>
      <c r="E36" s="20" t="s">
        <v>318</v>
      </c>
      <c r="F36" s="21" t="s">
        <v>319</v>
      </c>
      <c r="G36" s="20" t="s">
        <v>320</v>
      </c>
      <c r="H36" s="19" t="n">
        <v>1</v>
      </c>
      <c r="I36" s="19" t="n">
        <v>1</v>
      </c>
      <c r="J36" s="19" t="n">
        <v>0</v>
      </c>
      <c r="K36" s="19" t="n">
        <v>1</v>
      </c>
      <c r="L36" s="19" t="n">
        <v>3</v>
      </c>
      <c r="M36" s="21" t="s">
        <v>321</v>
      </c>
      <c r="N36" s="21" t="s">
        <v>322</v>
      </c>
      <c r="O36" s="20" t="s">
        <v>323</v>
      </c>
      <c r="P36" s="21" t="s">
        <v>324</v>
      </c>
      <c r="Q36" s="21" t="s">
        <v>325</v>
      </c>
    </row>
    <row r="37" customFormat="false" ht="57.45" hidden="false" customHeight="false" outlineLevel="0" collapsed="false">
      <c r="A37" s="19" t="n">
        <v>36</v>
      </c>
      <c r="B37" s="20" t="s">
        <v>7</v>
      </c>
      <c r="C37" s="20" t="s">
        <v>14</v>
      </c>
      <c r="D37" s="19" t="n">
        <v>2017</v>
      </c>
      <c r="E37" s="20" t="s">
        <v>326</v>
      </c>
      <c r="F37" s="21" t="s">
        <v>327</v>
      </c>
      <c r="G37" s="20" t="s">
        <v>328</v>
      </c>
      <c r="H37" s="19" t="n">
        <v>1</v>
      </c>
      <c r="I37" s="19" t="n">
        <v>0.5</v>
      </c>
      <c r="J37" s="19" t="n">
        <v>0</v>
      </c>
      <c r="K37" s="19" t="n">
        <v>0.5</v>
      </c>
      <c r="L37" s="19" t="n">
        <v>2</v>
      </c>
      <c r="M37" s="21" t="s">
        <v>329</v>
      </c>
      <c r="N37" s="21" t="s">
        <v>330</v>
      </c>
      <c r="O37" s="20" t="s">
        <v>76</v>
      </c>
      <c r="P37" s="21" t="s">
        <v>331</v>
      </c>
      <c r="Q37" s="21" t="s">
        <v>332</v>
      </c>
    </row>
    <row r="38" customFormat="false" ht="79.85" hidden="false" customHeight="false" outlineLevel="0" collapsed="false">
      <c r="A38" s="19" t="n">
        <v>37</v>
      </c>
      <c r="B38" s="20" t="s">
        <v>7</v>
      </c>
      <c r="C38" s="20" t="s">
        <v>14</v>
      </c>
      <c r="D38" s="19" t="n">
        <v>2016</v>
      </c>
      <c r="E38" s="20" t="s">
        <v>333</v>
      </c>
      <c r="F38" s="21" t="s">
        <v>334</v>
      </c>
      <c r="G38" s="20" t="s">
        <v>335</v>
      </c>
      <c r="H38" s="19" t="n">
        <v>1</v>
      </c>
      <c r="I38" s="19" t="n">
        <v>1</v>
      </c>
      <c r="J38" s="19" t="n">
        <v>1</v>
      </c>
      <c r="K38" s="19" t="n">
        <v>1</v>
      </c>
      <c r="L38" s="19" t="n">
        <v>4</v>
      </c>
      <c r="M38" s="21" t="s">
        <v>336</v>
      </c>
      <c r="N38" s="21" t="s">
        <v>337</v>
      </c>
      <c r="O38" s="20" t="s">
        <v>338</v>
      </c>
      <c r="P38" s="21" t="s">
        <v>339</v>
      </c>
      <c r="Q38" s="21" t="s">
        <v>340</v>
      </c>
    </row>
    <row r="39" customFormat="false" ht="79.85" hidden="false" customHeight="false" outlineLevel="0" collapsed="false">
      <c r="A39" s="19" t="n">
        <v>38</v>
      </c>
      <c r="B39" s="20" t="s">
        <v>7</v>
      </c>
      <c r="C39" s="20" t="s">
        <v>14</v>
      </c>
      <c r="D39" s="19" t="n">
        <v>2026</v>
      </c>
      <c r="E39" s="20" t="s">
        <v>341</v>
      </c>
      <c r="F39" s="21" t="s">
        <v>342</v>
      </c>
      <c r="G39" s="20" t="s">
        <v>343</v>
      </c>
      <c r="H39" s="19" t="n">
        <v>1</v>
      </c>
      <c r="I39" s="19" t="n">
        <v>1</v>
      </c>
      <c r="J39" s="19" t="n">
        <v>0.5</v>
      </c>
      <c r="K39" s="19" t="n">
        <v>1</v>
      </c>
      <c r="L39" s="19" t="n">
        <v>3.5</v>
      </c>
      <c r="M39" s="21" t="s">
        <v>344</v>
      </c>
      <c r="N39" s="21" t="s">
        <v>345</v>
      </c>
      <c r="O39" s="20" t="s">
        <v>346</v>
      </c>
      <c r="P39" s="21" t="s">
        <v>347</v>
      </c>
      <c r="Q39" s="21" t="s">
        <v>348</v>
      </c>
    </row>
    <row r="40" customFormat="false" ht="102.2" hidden="false" customHeight="false" outlineLevel="0" collapsed="false">
      <c r="A40" s="19" t="n">
        <v>39</v>
      </c>
      <c r="B40" s="20" t="s">
        <v>7</v>
      </c>
      <c r="C40" s="20" t="s">
        <v>135</v>
      </c>
      <c r="D40" s="19" t="n">
        <v>2026</v>
      </c>
      <c r="E40" s="20" t="s">
        <v>349</v>
      </c>
      <c r="F40" s="21" t="s">
        <v>350</v>
      </c>
      <c r="G40" s="20" t="s">
        <v>351</v>
      </c>
      <c r="H40" s="19" t="n">
        <v>1</v>
      </c>
      <c r="I40" s="19" t="n">
        <v>1</v>
      </c>
      <c r="J40" s="19" t="n">
        <v>1</v>
      </c>
      <c r="K40" s="19" t="n">
        <v>0.5</v>
      </c>
      <c r="L40" s="19" t="n">
        <v>3.5</v>
      </c>
      <c r="M40" s="21" t="s">
        <v>352</v>
      </c>
      <c r="N40" s="21" t="s">
        <v>353</v>
      </c>
      <c r="O40" s="20" t="s">
        <v>354</v>
      </c>
      <c r="P40" s="21" t="s">
        <v>355</v>
      </c>
      <c r="Q40" s="21" t="s">
        <v>356</v>
      </c>
    </row>
    <row r="41" customFormat="false" ht="57.45" hidden="false" customHeight="false" outlineLevel="0" collapsed="false">
      <c r="A41" s="19" t="n">
        <v>40</v>
      </c>
      <c r="B41" s="20" t="s">
        <v>7</v>
      </c>
      <c r="C41" s="20" t="s">
        <v>14</v>
      </c>
      <c r="D41" s="19" t="n">
        <v>2022</v>
      </c>
      <c r="E41" s="20" t="s">
        <v>357</v>
      </c>
      <c r="F41" s="21" t="s">
        <v>358</v>
      </c>
      <c r="G41" s="20" t="s">
        <v>359</v>
      </c>
      <c r="H41" s="19" t="n">
        <v>1</v>
      </c>
      <c r="I41" s="19" t="n">
        <v>0.5</v>
      </c>
      <c r="J41" s="19" t="n">
        <v>0</v>
      </c>
      <c r="K41" s="19" t="n">
        <v>1</v>
      </c>
      <c r="L41" s="19" t="n">
        <v>2.5</v>
      </c>
      <c r="M41" s="21" t="s">
        <v>360</v>
      </c>
      <c r="N41" s="21" t="s">
        <v>361</v>
      </c>
      <c r="O41" s="20" t="s">
        <v>362</v>
      </c>
      <c r="P41" s="21" t="s">
        <v>363</v>
      </c>
      <c r="Q41" s="21" t="s">
        <v>364</v>
      </c>
    </row>
    <row r="42" customFormat="false" ht="79.85" hidden="false" customHeight="false" outlineLevel="0" collapsed="false">
      <c r="A42" s="19" t="n">
        <v>41</v>
      </c>
      <c r="B42" s="20" t="s">
        <v>7</v>
      </c>
      <c r="C42" s="20" t="s">
        <v>14</v>
      </c>
      <c r="D42" s="19" t="n">
        <v>2021</v>
      </c>
      <c r="E42" s="20" t="s">
        <v>365</v>
      </c>
      <c r="F42" s="21" t="s">
        <v>366</v>
      </c>
      <c r="G42" s="20" t="s">
        <v>367</v>
      </c>
      <c r="H42" s="19" t="n">
        <v>1</v>
      </c>
      <c r="I42" s="19" t="n">
        <v>1</v>
      </c>
      <c r="J42" s="19" t="n">
        <v>1</v>
      </c>
      <c r="K42" s="19" t="n">
        <v>1</v>
      </c>
      <c r="L42" s="19" t="n">
        <v>4</v>
      </c>
      <c r="M42" s="21" t="s">
        <v>368</v>
      </c>
      <c r="N42" s="21" t="s">
        <v>369</v>
      </c>
      <c r="O42" s="20" t="s">
        <v>370</v>
      </c>
      <c r="P42" s="21" t="s">
        <v>371</v>
      </c>
      <c r="Q42" s="21" t="s">
        <v>372</v>
      </c>
    </row>
    <row r="43" customFormat="false" ht="68.65" hidden="false" customHeight="false" outlineLevel="0" collapsed="false">
      <c r="A43" s="19" t="n">
        <v>42</v>
      </c>
      <c r="B43" s="20" t="s">
        <v>7</v>
      </c>
      <c r="C43" s="20" t="s">
        <v>135</v>
      </c>
      <c r="D43" s="19" t="n">
        <v>2020</v>
      </c>
      <c r="E43" s="20" t="s">
        <v>373</v>
      </c>
      <c r="F43" s="21" t="s">
        <v>374</v>
      </c>
      <c r="G43" s="20" t="s">
        <v>375</v>
      </c>
      <c r="H43" s="19" t="n">
        <v>1</v>
      </c>
      <c r="I43" s="19" t="n">
        <v>1</v>
      </c>
      <c r="J43" s="19" t="n">
        <v>1</v>
      </c>
      <c r="K43" s="19" t="n">
        <v>1</v>
      </c>
      <c r="L43" s="19" t="n">
        <v>4</v>
      </c>
      <c r="M43" s="21" t="s">
        <v>376</v>
      </c>
      <c r="N43" s="21" t="s">
        <v>377</v>
      </c>
      <c r="O43" s="20" t="s">
        <v>378</v>
      </c>
      <c r="P43" s="21" t="s">
        <v>379</v>
      </c>
      <c r="Q43" s="21" t="s">
        <v>380</v>
      </c>
    </row>
    <row r="44" customFormat="false" ht="79.85" hidden="false" customHeight="false" outlineLevel="0" collapsed="false">
      <c r="A44" s="19" t="n">
        <v>43</v>
      </c>
      <c r="B44" s="20" t="s">
        <v>7</v>
      </c>
      <c r="C44" s="20" t="s">
        <v>14</v>
      </c>
      <c r="D44" s="19" t="n">
        <v>2020</v>
      </c>
      <c r="E44" s="20" t="s">
        <v>381</v>
      </c>
      <c r="F44" s="21" t="s">
        <v>382</v>
      </c>
      <c r="G44" s="20" t="s">
        <v>383</v>
      </c>
      <c r="H44" s="19" t="n">
        <v>1</v>
      </c>
      <c r="I44" s="19" t="n">
        <v>1</v>
      </c>
      <c r="J44" s="19" t="n">
        <v>0.5</v>
      </c>
      <c r="K44" s="19" t="n">
        <v>1</v>
      </c>
      <c r="L44" s="19" t="n">
        <v>3.5</v>
      </c>
      <c r="M44" s="21" t="s">
        <v>384</v>
      </c>
      <c r="N44" s="21" t="s">
        <v>385</v>
      </c>
      <c r="O44" s="20" t="s">
        <v>386</v>
      </c>
      <c r="P44" s="21" t="s">
        <v>387</v>
      </c>
      <c r="Q44" s="21" t="s">
        <v>388</v>
      </c>
    </row>
    <row r="45" customFormat="false" ht="68.65" hidden="false" customHeight="false" outlineLevel="0" collapsed="false">
      <c r="A45" s="19" t="n">
        <v>44</v>
      </c>
      <c r="B45" s="20" t="s">
        <v>7</v>
      </c>
      <c r="C45" s="20" t="s">
        <v>135</v>
      </c>
      <c r="D45" s="19" t="n">
        <v>2020</v>
      </c>
      <c r="E45" s="20" t="s">
        <v>389</v>
      </c>
      <c r="F45" s="21" t="s">
        <v>390</v>
      </c>
      <c r="G45" s="20" t="s">
        <v>391</v>
      </c>
      <c r="H45" s="19" t="n">
        <v>1</v>
      </c>
      <c r="I45" s="19" t="n">
        <v>1</v>
      </c>
      <c r="J45" s="19" t="n">
        <v>1</v>
      </c>
      <c r="K45" s="19" t="n">
        <v>1</v>
      </c>
      <c r="L45" s="19" t="n">
        <v>4</v>
      </c>
      <c r="M45" s="21" t="s">
        <v>392</v>
      </c>
      <c r="N45" s="21" t="s">
        <v>393</v>
      </c>
      <c r="O45" s="20" t="s">
        <v>394</v>
      </c>
      <c r="P45" s="21" t="s">
        <v>395</v>
      </c>
      <c r="Q45" s="21" t="s">
        <v>396</v>
      </c>
    </row>
    <row r="46" customFormat="false" ht="79.85" hidden="false" customHeight="false" outlineLevel="0" collapsed="false">
      <c r="A46" s="19" t="n">
        <v>45</v>
      </c>
      <c r="B46" s="20" t="s">
        <v>7</v>
      </c>
      <c r="C46" s="20" t="s">
        <v>135</v>
      </c>
      <c r="D46" s="19" t="n">
        <v>2018</v>
      </c>
      <c r="E46" s="20" t="s">
        <v>397</v>
      </c>
      <c r="F46" s="21" t="s">
        <v>398</v>
      </c>
      <c r="G46" s="20" t="s">
        <v>399</v>
      </c>
      <c r="H46" s="19" t="n">
        <v>1</v>
      </c>
      <c r="I46" s="19" t="n">
        <v>1</v>
      </c>
      <c r="J46" s="19" t="n">
        <v>0.5</v>
      </c>
      <c r="K46" s="19" t="n">
        <v>0.5</v>
      </c>
      <c r="L46" s="19" t="n">
        <v>3</v>
      </c>
      <c r="M46" s="21" t="s">
        <v>400</v>
      </c>
      <c r="N46" s="21" t="s">
        <v>401</v>
      </c>
      <c r="O46" s="20" t="s">
        <v>402</v>
      </c>
      <c r="P46" s="21" t="s">
        <v>403</v>
      </c>
      <c r="Q46" s="21" t="s">
        <v>404</v>
      </c>
    </row>
    <row r="47" customFormat="false" ht="68.65" hidden="false" customHeight="false" outlineLevel="0" collapsed="false">
      <c r="A47" s="19" t="n">
        <v>46</v>
      </c>
      <c r="B47" s="20" t="s">
        <v>7</v>
      </c>
      <c r="C47" s="20" t="s">
        <v>14</v>
      </c>
      <c r="D47" s="19" t="n">
        <v>2019</v>
      </c>
      <c r="E47" s="20" t="s">
        <v>405</v>
      </c>
      <c r="F47" s="21" t="s">
        <v>406</v>
      </c>
      <c r="G47" s="20" t="s">
        <v>407</v>
      </c>
      <c r="H47" s="19" t="n">
        <v>1</v>
      </c>
      <c r="I47" s="19" t="n">
        <v>1</v>
      </c>
      <c r="J47" s="19" t="n">
        <v>1</v>
      </c>
      <c r="K47" s="19" t="n">
        <v>1</v>
      </c>
      <c r="L47" s="19" t="n">
        <v>4</v>
      </c>
      <c r="M47" s="21" t="s">
        <v>408</v>
      </c>
      <c r="N47" s="21" t="s">
        <v>409</v>
      </c>
      <c r="O47" s="20" t="s">
        <v>410</v>
      </c>
      <c r="P47" s="21" t="s">
        <v>411</v>
      </c>
      <c r="Q47" s="21" t="s">
        <v>412</v>
      </c>
    </row>
    <row r="48" customFormat="false" ht="68.65" hidden="false" customHeight="false" outlineLevel="0" collapsed="false">
      <c r="A48" s="19" t="n">
        <v>47</v>
      </c>
      <c r="B48" s="20" t="s">
        <v>7</v>
      </c>
      <c r="C48" s="20" t="s">
        <v>135</v>
      </c>
      <c r="D48" s="19" t="n">
        <v>2025</v>
      </c>
      <c r="E48" s="20" t="s">
        <v>413</v>
      </c>
      <c r="F48" s="21" t="s">
        <v>414</v>
      </c>
      <c r="G48" s="20" t="s">
        <v>415</v>
      </c>
      <c r="H48" s="19" t="n">
        <v>1</v>
      </c>
      <c r="I48" s="19" t="n">
        <v>1</v>
      </c>
      <c r="J48" s="19" t="n">
        <v>0.5</v>
      </c>
      <c r="K48" s="19" t="n">
        <v>1</v>
      </c>
      <c r="L48" s="19" t="n">
        <v>3.5</v>
      </c>
      <c r="M48" s="21" t="s">
        <v>416</v>
      </c>
      <c r="N48" s="21" t="s">
        <v>417</v>
      </c>
      <c r="O48" s="20" t="s">
        <v>418</v>
      </c>
      <c r="P48" s="21" t="s">
        <v>419</v>
      </c>
      <c r="Q48" s="21" t="s">
        <v>420</v>
      </c>
    </row>
    <row r="49" customFormat="false" ht="91" hidden="false" customHeight="false" outlineLevel="0" collapsed="false">
      <c r="A49" s="19" t="n">
        <v>48</v>
      </c>
      <c r="B49" s="20" t="s">
        <v>7</v>
      </c>
      <c r="C49" s="20" t="s">
        <v>135</v>
      </c>
      <c r="D49" s="19" t="n">
        <v>2026</v>
      </c>
      <c r="E49" s="20" t="s">
        <v>421</v>
      </c>
      <c r="F49" s="21" t="s">
        <v>422</v>
      </c>
      <c r="G49" s="20" t="s">
        <v>423</v>
      </c>
      <c r="H49" s="19" t="n">
        <v>1</v>
      </c>
      <c r="I49" s="19" t="n">
        <v>1</v>
      </c>
      <c r="J49" s="19" t="n">
        <v>0.5</v>
      </c>
      <c r="K49" s="19" t="n">
        <v>1</v>
      </c>
      <c r="L49" s="19" t="n">
        <v>3.5</v>
      </c>
      <c r="M49" s="21" t="s">
        <v>424</v>
      </c>
      <c r="N49" s="21" t="s">
        <v>425</v>
      </c>
      <c r="O49" s="20" t="s">
        <v>426</v>
      </c>
      <c r="P49" s="21" t="s">
        <v>427</v>
      </c>
      <c r="Q49" s="21" t="s">
        <v>428</v>
      </c>
    </row>
    <row r="50" customFormat="false" ht="57.45" hidden="false" customHeight="false" outlineLevel="0" collapsed="false">
      <c r="A50" s="19" t="n">
        <v>49</v>
      </c>
      <c r="B50" s="20" t="s">
        <v>7</v>
      </c>
      <c r="C50" s="20" t="s">
        <v>14</v>
      </c>
      <c r="D50" s="19" t="n">
        <v>2019</v>
      </c>
      <c r="E50" s="20" t="s">
        <v>429</v>
      </c>
      <c r="F50" s="21" t="s">
        <v>430</v>
      </c>
      <c r="G50" s="20" t="s">
        <v>431</v>
      </c>
      <c r="H50" s="19" t="n">
        <v>1</v>
      </c>
      <c r="I50" s="19" t="n">
        <v>1</v>
      </c>
      <c r="J50" s="19" t="n">
        <v>0.5</v>
      </c>
      <c r="K50" s="19" t="n">
        <v>1</v>
      </c>
      <c r="L50" s="19" t="n">
        <v>3.5</v>
      </c>
      <c r="M50" s="21" t="s">
        <v>432</v>
      </c>
      <c r="N50" s="21" t="s">
        <v>433</v>
      </c>
      <c r="O50" s="20" t="s">
        <v>434</v>
      </c>
      <c r="P50" s="21" t="s">
        <v>435</v>
      </c>
      <c r="Q50" s="21" t="s">
        <v>436</v>
      </c>
    </row>
    <row r="51" customFormat="false" ht="79.85" hidden="false" customHeight="false" outlineLevel="0" collapsed="false">
      <c r="A51" s="19" t="n">
        <v>50</v>
      </c>
      <c r="B51" s="20" t="s">
        <v>7</v>
      </c>
      <c r="C51" s="20" t="s">
        <v>14</v>
      </c>
      <c r="D51" s="19" t="n">
        <v>2020</v>
      </c>
      <c r="E51" s="20" t="s">
        <v>437</v>
      </c>
      <c r="F51" s="21" t="s">
        <v>438</v>
      </c>
      <c r="G51" s="20" t="s">
        <v>439</v>
      </c>
      <c r="H51" s="19" t="n">
        <v>1</v>
      </c>
      <c r="I51" s="19" t="n">
        <v>1</v>
      </c>
      <c r="J51" s="19" t="n">
        <v>0.5</v>
      </c>
      <c r="K51" s="19" t="n">
        <v>0.5</v>
      </c>
      <c r="L51" s="19" t="n">
        <v>3</v>
      </c>
      <c r="M51" s="21" t="s">
        <v>440</v>
      </c>
      <c r="N51" s="21" t="s">
        <v>441</v>
      </c>
      <c r="O51" s="20" t="s">
        <v>442</v>
      </c>
      <c r="P51" s="21" t="s">
        <v>443</v>
      </c>
      <c r="Q51" s="21" t="s">
        <v>444</v>
      </c>
    </row>
    <row r="52" customFormat="false" ht="91" hidden="false" customHeight="false" outlineLevel="0" collapsed="false">
      <c r="A52" s="19" t="n">
        <v>51</v>
      </c>
      <c r="B52" s="20" t="s">
        <v>7</v>
      </c>
      <c r="C52" s="20" t="s">
        <v>14</v>
      </c>
      <c r="D52" s="19" t="n">
        <v>2017</v>
      </c>
      <c r="E52" s="20" t="s">
        <v>445</v>
      </c>
      <c r="F52" s="21" t="s">
        <v>446</v>
      </c>
      <c r="G52" s="20" t="s">
        <v>447</v>
      </c>
      <c r="H52" s="19" t="n">
        <v>1</v>
      </c>
      <c r="I52" s="19" t="n">
        <v>1</v>
      </c>
      <c r="J52" s="19" t="n">
        <v>1</v>
      </c>
      <c r="K52" s="19" t="n">
        <v>1</v>
      </c>
      <c r="L52" s="19" t="n">
        <v>4</v>
      </c>
      <c r="M52" s="21" t="s">
        <v>448</v>
      </c>
      <c r="N52" s="21" t="s">
        <v>449</v>
      </c>
      <c r="O52" s="20" t="s">
        <v>450</v>
      </c>
      <c r="P52" s="21" t="s">
        <v>451</v>
      </c>
      <c r="Q52" s="21" t="s">
        <v>452</v>
      </c>
    </row>
    <row r="53" customFormat="false" ht="68.65" hidden="false" customHeight="false" outlineLevel="0" collapsed="false">
      <c r="A53" s="19" t="n">
        <v>52</v>
      </c>
      <c r="B53" s="20" t="s">
        <v>7</v>
      </c>
      <c r="C53" s="20" t="s">
        <v>14</v>
      </c>
      <c r="D53" s="19" t="n">
        <v>2021</v>
      </c>
      <c r="E53" s="20" t="s">
        <v>453</v>
      </c>
      <c r="F53" s="21" t="s">
        <v>454</v>
      </c>
      <c r="G53" s="20" t="s">
        <v>455</v>
      </c>
      <c r="H53" s="19" t="n">
        <v>1</v>
      </c>
      <c r="I53" s="19" t="n">
        <v>1</v>
      </c>
      <c r="J53" s="19" t="n">
        <v>1</v>
      </c>
      <c r="K53" s="19" t="n">
        <v>1</v>
      </c>
      <c r="L53" s="19" t="n">
        <v>4</v>
      </c>
      <c r="M53" s="21" t="s">
        <v>456</v>
      </c>
      <c r="N53" s="21" t="s">
        <v>457</v>
      </c>
      <c r="O53" s="20" t="s">
        <v>458</v>
      </c>
      <c r="P53" s="21" t="s">
        <v>459</v>
      </c>
      <c r="Q53" s="21" t="s">
        <v>460</v>
      </c>
    </row>
    <row r="54" customFormat="false" ht="91" hidden="false" customHeight="false" outlineLevel="0" collapsed="false">
      <c r="A54" s="19" t="n">
        <v>53</v>
      </c>
      <c r="B54" s="20" t="s">
        <v>7</v>
      </c>
      <c r="C54" s="20" t="s">
        <v>14</v>
      </c>
      <c r="D54" s="19" t="n">
        <v>2025</v>
      </c>
      <c r="E54" s="20" t="s">
        <v>461</v>
      </c>
      <c r="F54" s="21" t="s">
        <v>462</v>
      </c>
      <c r="G54" s="20" t="s">
        <v>463</v>
      </c>
      <c r="H54" s="19" t="n">
        <v>1</v>
      </c>
      <c r="I54" s="19" t="n">
        <v>1</v>
      </c>
      <c r="J54" s="19" t="n">
        <v>0.5</v>
      </c>
      <c r="K54" s="19" t="n">
        <v>1</v>
      </c>
      <c r="L54" s="19" t="n">
        <v>3.5</v>
      </c>
      <c r="M54" s="21" t="s">
        <v>464</v>
      </c>
      <c r="N54" s="21" t="s">
        <v>465</v>
      </c>
      <c r="O54" s="20" t="s">
        <v>466</v>
      </c>
      <c r="P54" s="21" t="s">
        <v>467</v>
      </c>
      <c r="Q54" s="21" t="s">
        <v>468</v>
      </c>
    </row>
    <row r="55" customFormat="false" ht="68.65" hidden="false" customHeight="false" outlineLevel="0" collapsed="false">
      <c r="A55" s="19" t="n">
        <v>54</v>
      </c>
      <c r="B55" s="20" t="s">
        <v>7</v>
      </c>
      <c r="C55" s="20" t="s">
        <v>14</v>
      </c>
      <c r="D55" s="19" t="n">
        <v>2018</v>
      </c>
      <c r="E55" s="20" t="s">
        <v>303</v>
      </c>
      <c r="F55" s="21" t="s">
        <v>469</v>
      </c>
      <c r="G55" s="20" t="s">
        <v>470</v>
      </c>
      <c r="H55" s="19" t="n">
        <v>1</v>
      </c>
      <c r="I55" s="19" t="n">
        <v>1</v>
      </c>
      <c r="J55" s="19" t="n">
        <v>0.5</v>
      </c>
      <c r="K55" s="19" t="n">
        <v>0.5</v>
      </c>
      <c r="L55" s="19" t="n">
        <v>3</v>
      </c>
      <c r="M55" s="21" t="s">
        <v>471</v>
      </c>
      <c r="N55" s="21" t="s">
        <v>472</v>
      </c>
      <c r="O55" s="20" t="s">
        <v>473</v>
      </c>
      <c r="P55" s="21" t="s">
        <v>474</v>
      </c>
      <c r="Q55" s="21" t="s">
        <v>475</v>
      </c>
    </row>
    <row r="56" customFormat="false" ht="91" hidden="false" customHeight="false" outlineLevel="0" collapsed="false">
      <c r="A56" s="19" t="n">
        <v>55</v>
      </c>
      <c r="B56" s="20" t="s">
        <v>7</v>
      </c>
      <c r="C56" s="20" t="s">
        <v>14</v>
      </c>
      <c r="D56" s="19" t="n">
        <v>2018</v>
      </c>
      <c r="E56" s="20" t="s">
        <v>476</v>
      </c>
      <c r="F56" s="21" t="s">
        <v>477</v>
      </c>
      <c r="G56" s="20" t="s">
        <v>478</v>
      </c>
      <c r="H56" s="19" t="n">
        <v>1</v>
      </c>
      <c r="I56" s="19" t="n">
        <v>1</v>
      </c>
      <c r="J56" s="19" t="n">
        <v>1</v>
      </c>
      <c r="K56" s="19" t="n">
        <v>1</v>
      </c>
      <c r="L56" s="19" t="n">
        <v>4</v>
      </c>
      <c r="M56" s="21" t="s">
        <v>479</v>
      </c>
      <c r="N56" s="21" t="s">
        <v>480</v>
      </c>
      <c r="O56" s="20" t="s">
        <v>481</v>
      </c>
      <c r="P56" s="21" t="s">
        <v>482</v>
      </c>
      <c r="Q56" s="21" t="s">
        <v>483</v>
      </c>
    </row>
    <row r="57" customFormat="false" ht="68.65" hidden="false" customHeight="false" outlineLevel="0" collapsed="false">
      <c r="A57" s="19" t="n">
        <v>56</v>
      </c>
      <c r="B57" s="20" t="s">
        <v>7</v>
      </c>
      <c r="C57" s="20" t="s">
        <v>14</v>
      </c>
      <c r="D57" s="19" t="n">
        <v>2016</v>
      </c>
      <c r="E57" s="20" t="s">
        <v>484</v>
      </c>
      <c r="F57" s="21" t="s">
        <v>485</v>
      </c>
      <c r="G57" s="20" t="s">
        <v>486</v>
      </c>
      <c r="H57" s="19" t="n">
        <v>1</v>
      </c>
      <c r="I57" s="19" t="n">
        <v>1</v>
      </c>
      <c r="J57" s="19" t="n">
        <v>0.5</v>
      </c>
      <c r="K57" s="19" t="n">
        <v>0.5</v>
      </c>
      <c r="L57" s="19" t="n">
        <v>3</v>
      </c>
      <c r="M57" s="21" t="s">
        <v>487</v>
      </c>
      <c r="N57" s="21" t="s">
        <v>488</v>
      </c>
      <c r="O57" s="20" t="s">
        <v>76</v>
      </c>
      <c r="P57" s="21" t="s">
        <v>489</v>
      </c>
      <c r="Q57" s="21" t="s">
        <v>490</v>
      </c>
    </row>
    <row r="58" customFormat="false" ht="79.85" hidden="false" customHeight="false" outlineLevel="0" collapsed="false">
      <c r="A58" s="19" t="n">
        <v>57</v>
      </c>
      <c r="B58" s="20" t="s">
        <v>7</v>
      </c>
      <c r="C58" s="20" t="s">
        <v>14</v>
      </c>
      <c r="D58" s="19" t="n">
        <v>2020</v>
      </c>
      <c r="E58" s="20" t="s">
        <v>491</v>
      </c>
      <c r="F58" s="21" t="s">
        <v>492</v>
      </c>
      <c r="G58" s="20" t="s">
        <v>493</v>
      </c>
      <c r="H58" s="19" t="n">
        <v>1</v>
      </c>
      <c r="I58" s="19" t="n">
        <v>1</v>
      </c>
      <c r="J58" s="19" t="n">
        <v>1</v>
      </c>
      <c r="K58" s="19" t="n">
        <v>1</v>
      </c>
      <c r="L58" s="19" t="n">
        <v>4</v>
      </c>
      <c r="M58" s="21" t="s">
        <v>494</v>
      </c>
      <c r="N58" s="21" t="s">
        <v>495</v>
      </c>
      <c r="O58" s="20" t="s">
        <v>496</v>
      </c>
      <c r="P58" s="21" t="s">
        <v>497</v>
      </c>
      <c r="Q58" s="21" t="s">
        <v>498</v>
      </c>
    </row>
    <row r="59" customFormat="false" ht="68.65" hidden="false" customHeight="false" outlineLevel="0" collapsed="false">
      <c r="A59" s="19" t="n">
        <v>58</v>
      </c>
      <c r="B59" s="20" t="s">
        <v>7</v>
      </c>
      <c r="C59" s="20" t="s">
        <v>14</v>
      </c>
      <c r="D59" s="19" t="n">
        <v>2016</v>
      </c>
      <c r="E59" s="20" t="s">
        <v>499</v>
      </c>
      <c r="F59" s="21" t="s">
        <v>500</v>
      </c>
      <c r="G59" s="20" t="s">
        <v>501</v>
      </c>
      <c r="H59" s="19" t="n">
        <v>1</v>
      </c>
      <c r="I59" s="19" t="n">
        <v>1</v>
      </c>
      <c r="J59" s="19" t="n">
        <v>0.5</v>
      </c>
      <c r="K59" s="19" t="n">
        <v>1</v>
      </c>
      <c r="L59" s="19" t="n">
        <v>3.5</v>
      </c>
      <c r="M59" s="21" t="s">
        <v>502</v>
      </c>
      <c r="N59" s="21" t="s">
        <v>503</v>
      </c>
      <c r="O59" s="20" t="s">
        <v>504</v>
      </c>
      <c r="P59" s="21" t="s">
        <v>505</v>
      </c>
      <c r="Q59" s="21" t="s">
        <v>506</v>
      </c>
    </row>
    <row r="60" customFormat="false" ht="91" hidden="false" customHeight="false" outlineLevel="0" collapsed="false">
      <c r="A60" s="19" t="n">
        <v>59</v>
      </c>
      <c r="B60" s="20" t="s">
        <v>7</v>
      </c>
      <c r="C60" s="20" t="s">
        <v>14</v>
      </c>
      <c r="D60" s="19" t="n">
        <v>2021</v>
      </c>
      <c r="E60" s="20" t="s">
        <v>507</v>
      </c>
      <c r="F60" s="21" t="s">
        <v>508</v>
      </c>
      <c r="G60" s="20" t="s">
        <v>509</v>
      </c>
      <c r="H60" s="19" t="n">
        <v>1</v>
      </c>
      <c r="I60" s="19" t="n">
        <v>1</v>
      </c>
      <c r="J60" s="19" t="n">
        <v>1</v>
      </c>
      <c r="K60" s="19" t="n">
        <v>1</v>
      </c>
      <c r="L60" s="19" t="n">
        <v>4</v>
      </c>
      <c r="M60" s="21" t="s">
        <v>510</v>
      </c>
      <c r="N60" s="21" t="s">
        <v>511</v>
      </c>
      <c r="O60" s="20" t="s">
        <v>512</v>
      </c>
      <c r="P60" s="21" t="s">
        <v>513</v>
      </c>
      <c r="Q60" s="21" t="s">
        <v>514</v>
      </c>
    </row>
    <row r="61" customFormat="false" ht="91" hidden="false" customHeight="false" outlineLevel="0" collapsed="false">
      <c r="A61" s="19" t="n">
        <v>60</v>
      </c>
      <c r="B61" s="20" t="s">
        <v>7</v>
      </c>
      <c r="C61" s="20" t="s">
        <v>135</v>
      </c>
      <c r="D61" s="19" t="n">
        <v>2016</v>
      </c>
      <c r="E61" s="20" t="s">
        <v>515</v>
      </c>
      <c r="F61" s="21" t="s">
        <v>516</v>
      </c>
      <c r="G61" s="20" t="s">
        <v>517</v>
      </c>
      <c r="H61" s="19" t="n">
        <v>1</v>
      </c>
      <c r="I61" s="19" t="n">
        <v>1</v>
      </c>
      <c r="J61" s="19" t="n">
        <v>1</v>
      </c>
      <c r="K61" s="19" t="n">
        <v>1</v>
      </c>
      <c r="L61" s="19" t="n">
        <v>4</v>
      </c>
      <c r="M61" s="21" t="s">
        <v>518</v>
      </c>
      <c r="N61" s="21" t="s">
        <v>519</v>
      </c>
      <c r="O61" s="20" t="s">
        <v>520</v>
      </c>
      <c r="P61" s="21" t="s">
        <v>521</v>
      </c>
      <c r="Q61" s="21" t="s">
        <v>522</v>
      </c>
    </row>
    <row r="62" customFormat="false" ht="79.85" hidden="false" customHeight="false" outlineLevel="0" collapsed="false">
      <c r="A62" s="19" t="n">
        <v>61</v>
      </c>
      <c r="B62" s="20" t="s">
        <v>7</v>
      </c>
      <c r="C62" s="20" t="s">
        <v>135</v>
      </c>
      <c r="D62" s="19" t="n">
        <v>2022</v>
      </c>
      <c r="E62" s="20" t="s">
        <v>523</v>
      </c>
      <c r="F62" s="21" t="s">
        <v>524</v>
      </c>
      <c r="G62" s="20" t="s">
        <v>525</v>
      </c>
      <c r="H62" s="19" t="n">
        <v>1</v>
      </c>
      <c r="I62" s="19" t="n">
        <v>1</v>
      </c>
      <c r="J62" s="19" t="n">
        <v>0.5</v>
      </c>
      <c r="K62" s="19" t="n">
        <v>1</v>
      </c>
      <c r="L62" s="19" t="n">
        <v>3.5</v>
      </c>
      <c r="M62" s="21" t="s">
        <v>526</v>
      </c>
      <c r="N62" s="21" t="s">
        <v>527</v>
      </c>
      <c r="O62" s="20" t="s">
        <v>528</v>
      </c>
      <c r="P62" s="21" t="s">
        <v>529</v>
      </c>
      <c r="Q62" s="21" t="s">
        <v>530</v>
      </c>
    </row>
    <row r="63" customFormat="false" ht="79.85" hidden="false" customHeight="false" outlineLevel="0" collapsed="false">
      <c r="A63" s="19" t="n">
        <v>62</v>
      </c>
      <c r="B63" s="20" t="s">
        <v>7</v>
      </c>
      <c r="C63" s="20" t="s">
        <v>135</v>
      </c>
      <c r="D63" s="19" t="n">
        <v>2020</v>
      </c>
      <c r="E63" s="20" t="s">
        <v>531</v>
      </c>
      <c r="F63" s="21" t="s">
        <v>532</v>
      </c>
      <c r="G63" s="20" t="s">
        <v>533</v>
      </c>
      <c r="H63" s="19" t="n">
        <v>1</v>
      </c>
      <c r="I63" s="19" t="n">
        <v>1</v>
      </c>
      <c r="J63" s="19" t="n">
        <v>0.5</v>
      </c>
      <c r="K63" s="19" t="n">
        <v>0.5</v>
      </c>
      <c r="L63" s="19" t="n">
        <v>3</v>
      </c>
      <c r="M63" s="21" t="s">
        <v>534</v>
      </c>
      <c r="N63" s="21" t="s">
        <v>535</v>
      </c>
      <c r="O63" s="20" t="s">
        <v>536</v>
      </c>
      <c r="P63" s="21" t="s">
        <v>537</v>
      </c>
      <c r="Q63" s="21" t="s">
        <v>538</v>
      </c>
    </row>
    <row r="64" customFormat="false" ht="79.85" hidden="false" customHeight="false" outlineLevel="0" collapsed="false">
      <c r="A64" s="19" t="n">
        <v>63</v>
      </c>
      <c r="B64" s="20" t="s">
        <v>7</v>
      </c>
      <c r="C64" s="20" t="s">
        <v>14</v>
      </c>
      <c r="D64" s="19" t="n">
        <v>2023</v>
      </c>
      <c r="E64" s="20" t="s">
        <v>539</v>
      </c>
      <c r="F64" s="21" t="s">
        <v>540</v>
      </c>
      <c r="G64" s="20" t="s">
        <v>541</v>
      </c>
      <c r="H64" s="19" t="n">
        <v>1</v>
      </c>
      <c r="I64" s="19" t="n">
        <v>1</v>
      </c>
      <c r="J64" s="19" t="n">
        <v>1</v>
      </c>
      <c r="K64" s="19" t="n">
        <v>1</v>
      </c>
      <c r="L64" s="19" t="n">
        <v>4</v>
      </c>
      <c r="M64" s="21" t="s">
        <v>542</v>
      </c>
      <c r="N64" s="21" t="s">
        <v>543</v>
      </c>
      <c r="O64" s="20" t="s">
        <v>76</v>
      </c>
      <c r="P64" s="21" t="s">
        <v>544</v>
      </c>
      <c r="Q64" s="21" t="s">
        <v>545</v>
      </c>
    </row>
    <row r="65" customFormat="false" ht="102.2" hidden="false" customHeight="false" outlineLevel="0" collapsed="false">
      <c r="A65" s="19" t="n">
        <v>64</v>
      </c>
      <c r="B65" s="20" t="s">
        <v>7</v>
      </c>
      <c r="C65" s="20" t="s">
        <v>14</v>
      </c>
      <c r="D65" s="19" t="n">
        <v>2022</v>
      </c>
      <c r="E65" s="20" t="s">
        <v>546</v>
      </c>
      <c r="F65" s="21" t="s">
        <v>547</v>
      </c>
      <c r="G65" s="20" t="s">
        <v>548</v>
      </c>
      <c r="H65" s="19" t="n">
        <v>1</v>
      </c>
      <c r="I65" s="19" t="n">
        <v>1</v>
      </c>
      <c r="J65" s="19" t="n">
        <v>1</v>
      </c>
      <c r="K65" s="19" t="n">
        <v>1</v>
      </c>
      <c r="L65" s="19" t="n">
        <v>4</v>
      </c>
      <c r="M65" s="21" t="s">
        <v>549</v>
      </c>
      <c r="N65" s="21" t="s">
        <v>550</v>
      </c>
      <c r="O65" s="20" t="s">
        <v>551</v>
      </c>
      <c r="P65" s="21" t="s">
        <v>552</v>
      </c>
      <c r="Q65" s="21" t="s">
        <v>553</v>
      </c>
    </row>
    <row r="66" customFormat="false" ht="91" hidden="false" customHeight="false" outlineLevel="0" collapsed="false">
      <c r="A66" s="19" t="n">
        <v>65</v>
      </c>
      <c r="B66" s="20" t="s">
        <v>7</v>
      </c>
      <c r="C66" s="20" t="s">
        <v>14</v>
      </c>
      <c r="D66" s="19" t="n">
        <v>2026</v>
      </c>
      <c r="E66" s="20" t="s">
        <v>554</v>
      </c>
      <c r="F66" s="21" t="s">
        <v>555</v>
      </c>
      <c r="G66" s="20" t="s">
        <v>556</v>
      </c>
      <c r="H66" s="19" t="n">
        <v>1</v>
      </c>
      <c r="I66" s="19" t="n">
        <v>1</v>
      </c>
      <c r="J66" s="19" t="n">
        <v>1</v>
      </c>
      <c r="K66" s="19" t="n">
        <v>1</v>
      </c>
      <c r="L66" s="19" t="n">
        <v>4</v>
      </c>
      <c r="M66" s="21" t="s">
        <v>557</v>
      </c>
      <c r="N66" s="21" t="s">
        <v>558</v>
      </c>
      <c r="O66" s="20" t="s">
        <v>559</v>
      </c>
      <c r="P66" s="21" t="s">
        <v>560</v>
      </c>
      <c r="Q66" s="21" t="s">
        <v>561</v>
      </c>
    </row>
    <row r="67" customFormat="false" ht="79.85" hidden="false" customHeight="false" outlineLevel="0" collapsed="false">
      <c r="A67" s="19" t="n">
        <v>66</v>
      </c>
      <c r="B67" s="20" t="s">
        <v>7</v>
      </c>
      <c r="C67" s="20" t="s">
        <v>14</v>
      </c>
      <c r="D67" s="19" t="n">
        <v>2015</v>
      </c>
      <c r="E67" s="20" t="s">
        <v>562</v>
      </c>
      <c r="F67" s="21" t="s">
        <v>563</v>
      </c>
      <c r="G67" s="20" t="s">
        <v>564</v>
      </c>
      <c r="H67" s="19" t="n">
        <v>1</v>
      </c>
      <c r="I67" s="19" t="n">
        <v>1</v>
      </c>
      <c r="J67" s="19" t="n">
        <v>0.5</v>
      </c>
      <c r="K67" s="19" t="n">
        <v>1</v>
      </c>
      <c r="L67" s="19" t="n">
        <v>3.5</v>
      </c>
      <c r="M67" s="21" t="s">
        <v>565</v>
      </c>
      <c r="N67" s="21" t="s">
        <v>566</v>
      </c>
      <c r="O67" s="20" t="s">
        <v>567</v>
      </c>
      <c r="P67" s="21" t="s">
        <v>568</v>
      </c>
      <c r="Q67" s="21" t="s">
        <v>569</v>
      </c>
    </row>
    <row r="68" customFormat="false" ht="68.65" hidden="false" customHeight="false" outlineLevel="0" collapsed="false">
      <c r="A68" s="19" t="n">
        <v>67</v>
      </c>
      <c r="B68" s="20" t="s">
        <v>7</v>
      </c>
      <c r="C68" s="20" t="s">
        <v>14</v>
      </c>
      <c r="D68" s="19" t="n">
        <v>2026</v>
      </c>
      <c r="E68" s="20" t="s">
        <v>570</v>
      </c>
      <c r="F68" s="21" t="s">
        <v>571</v>
      </c>
      <c r="G68" s="20" t="s">
        <v>572</v>
      </c>
      <c r="H68" s="19" t="n">
        <v>1</v>
      </c>
      <c r="I68" s="19" t="n">
        <v>1</v>
      </c>
      <c r="J68" s="19" t="n">
        <v>1</v>
      </c>
      <c r="K68" s="19" t="n">
        <v>1</v>
      </c>
      <c r="L68" s="19" t="n">
        <v>4</v>
      </c>
      <c r="M68" s="21" t="s">
        <v>573</v>
      </c>
      <c r="N68" s="21" t="s">
        <v>574</v>
      </c>
      <c r="O68" s="20" t="s">
        <v>575</v>
      </c>
      <c r="P68" s="21" t="s">
        <v>576</v>
      </c>
      <c r="Q68" s="21" t="s">
        <v>577</v>
      </c>
    </row>
    <row r="69" customFormat="false" ht="79.85" hidden="false" customHeight="false" outlineLevel="0" collapsed="false">
      <c r="A69" s="19" t="n">
        <v>68</v>
      </c>
      <c r="B69" s="20" t="s">
        <v>7</v>
      </c>
      <c r="C69" s="20" t="s">
        <v>14</v>
      </c>
      <c r="D69" s="19" t="n">
        <v>2017</v>
      </c>
      <c r="E69" s="20" t="s">
        <v>578</v>
      </c>
      <c r="F69" s="21" t="s">
        <v>579</v>
      </c>
      <c r="G69" s="20" t="s">
        <v>580</v>
      </c>
      <c r="H69" s="19" t="n">
        <v>1</v>
      </c>
      <c r="I69" s="19" t="n">
        <v>1</v>
      </c>
      <c r="J69" s="19" t="n">
        <v>0.5</v>
      </c>
      <c r="K69" s="19" t="n">
        <v>0.5</v>
      </c>
      <c r="L69" s="19" t="n">
        <v>3</v>
      </c>
      <c r="M69" s="21" t="s">
        <v>581</v>
      </c>
      <c r="N69" s="21" t="s">
        <v>582</v>
      </c>
      <c r="O69" s="20" t="s">
        <v>583</v>
      </c>
      <c r="P69" s="21" t="s">
        <v>584</v>
      </c>
      <c r="Q69" s="21" t="s">
        <v>585</v>
      </c>
    </row>
    <row r="70" customFormat="false" ht="68.65" hidden="false" customHeight="false" outlineLevel="0" collapsed="false">
      <c r="A70" s="19" t="n">
        <v>69</v>
      </c>
      <c r="B70" s="20" t="s">
        <v>7</v>
      </c>
      <c r="C70" s="20" t="s">
        <v>14</v>
      </c>
      <c r="D70" s="19" t="n">
        <v>2015</v>
      </c>
      <c r="E70" s="20" t="s">
        <v>586</v>
      </c>
      <c r="F70" s="21" t="s">
        <v>587</v>
      </c>
      <c r="G70" s="20" t="s">
        <v>588</v>
      </c>
      <c r="H70" s="19" t="n">
        <v>1</v>
      </c>
      <c r="I70" s="19" t="n">
        <v>1</v>
      </c>
      <c r="J70" s="19" t="n">
        <v>0.5</v>
      </c>
      <c r="K70" s="19" t="n">
        <v>0.5</v>
      </c>
      <c r="L70" s="19" t="n">
        <v>3</v>
      </c>
      <c r="M70" s="21" t="s">
        <v>589</v>
      </c>
      <c r="N70" s="21" t="s">
        <v>590</v>
      </c>
      <c r="O70" s="20" t="s">
        <v>591</v>
      </c>
      <c r="P70" s="21" t="s">
        <v>592</v>
      </c>
      <c r="Q70" s="21" t="s">
        <v>593</v>
      </c>
    </row>
    <row r="71" customFormat="false" ht="79.85" hidden="false" customHeight="false" outlineLevel="0" collapsed="false">
      <c r="A71" s="19" t="n">
        <v>70</v>
      </c>
      <c r="B71" s="20" t="s">
        <v>7</v>
      </c>
      <c r="C71" s="20" t="s">
        <v>135</v>
      </c>
      <c r="D71" s="19" t="n">
        <v>2019</v>
      </c>
      <c r="E71" s="20" t="s">
        <v>594</v>
      </c>
      <c r="F71" s="21" t="s">
        <v>595</v>
      </c>
      <c r="G71" s="20" t="s">
        <v>596</v>
      </c>
      <c r="H71" s="19" t="n">
        <v>1</v>
      </c>
      <c r="I71" s="19" t="n">
        <v>1</v>
      </c>
      <c r="J71" s="19" t="n">
        <v>1</v>
      </c>
      <c r="K71" s="19" t="n">
        <v>1</v>
      </c>
      <c r="L71" s="19" t="n">
        <v>4</v>
      </c>
      <c r="M71" s="21" t="s">
        <v>597</v>
      </c>
      <c r="N71" s="21" t="s">
        <v>598</v>
      </c>
      <c r="O71" s="20" t="s">
        <v>599</v>
      </c>
      <c r="P71" s="21" t="s">
        <v>600</v>
      </c>
      <c r="Q71" s="21" t="s">
        <v>601</v>
      </c>
    </row>
    <row r="72" customFormat="false" ht="79.85" hidden="false" customHeight="false" outlineLevel="0" collapsed="false">
      <c r="A72" s="19" t="n">
        <v>71</v>
      </c>
      <c r="B72" s="20" t="s">
        <v>7</v>
      </c>
      <c r="C72" s="20" t="s">
        <v>14</v>
      </c>
      <c r="D72" s="19" t="n">
        <v>2024</v>
      </c>
      <c r="E72" s="20" t="s">
        <v>602</v>
      </c>
      <c r="F72" s="21" t="s">
        <v>603</v>
      </c>
      <c r="G72" s="20" t="s">
        <v>604</v>
      </c>
      <c r="H72" s="19" t="n">
        <v>1</v>
      </c>
      <c r="I72" s="19" t="n">
        <v>0.5</v>
      </c>
      <c r="J72" s="19" t="n">
        <v>0.5</v>
      </c>
      <c r="K72" s="19" t="n">
        <v>0.5</v>
      </c>
      <c r="L72" s="19" t="n">
        <v>2.5</v>
      </c>
      <c r="M72" s="21" t="s">
        <v>605</v>
      </c>
      <c r="N72" s="21" t="s">
        <v>606</v>
      </c>
      <c r="O72" s="20" t="s">
        <v>607</v>
      </c>
      <c r="P72" s="21" t="s">
        <v>608</v>
      </c>
      <c r="Q72" s="21" t="s">
        <v>609</v>
      </c>
    </row>
    <row r="73" customFormat="false" ht="79.85" hidden="false" customHeight="false" outlineLevel="0" collapsed="false">
      <c r="A73" s="19" t="n">
        <v>72</v>
      </c>
      <c r="B73" s="20" t="s">
        <v>7</v>
      </c>
      <c r="C73" s="20" t="s">
        <v>14</v>
      </c>
      <c r="D73" s="19" t="n">
        <v>2026</v>
      </c>
      <c r="E73" s="20" t="s">
        <v>610</v>
      </c>
      <c r="F73" s="21" t="s">
        <v>611</v>
      </c>
      <c r="G73" s="20" t="s">
        <v>612</v>
      </c>
      <c r="H73" s="19" t="n">
        <v>1</v>
      </c>
      <c r="I73" s="19" t="n">
        <v>1</v>
      </c>
      <c r="J73" s="19" t="n">
        <v>0.5</v>
      </c>
      <c r="K73" s="19" t="n">
        <v>1</v>
      </c>
      <c r="L73" s="19" t="n">
        <v>3.5</v>
      </c>
      <c r="M73" s="21" t="s">
        <v>613</v>
      </c>
      <c r="N73" s="21" t="s">
        <v>614</v>
      </c>
      <c r="O73" s="20" t="s">
        <v>615</v>
      </c>
      <c r="P73" s="21" t="s">
        <v>616</v>
      </c>
      <c r="Q73" s="21" t="s">
        <v>617</v>
      </c>
    </row>
    <row r="74" customFormat="false" ht="79.85" hidden="false" customHeight="false" outlineLevel="0" collapsed="false">
      <c r="A74" s="19" t="n">
        <v>73</v>
      </c>
      <c r="B74" s="20" t="s">
        <v>7</v>
      </c>
      <c r="C74" s="20" t="s">
        <v>135</v>
      </c>
      <c r="D74" s="19" t="n">
        <v>2023</v>
      </c>
      <c r="E74" s="20" t="s">
        <v>618</v>
      </c>
      <c r="F74" s="21" t="s">
        <v>619</v>
      </c>
      <c r="G74" s="20" t="s">
        <v>620</v>
      </c>
      <c r="H74" s="19" t="n">
        <v>1</v>
      </c>
      <c r="I74" s="19" t="n">
        <v>1</v>
      </c>
      <c r="J74" s="19" t="n">
        <v>0.5</v>
      </c>
      <c r="K74" s="19" t="n">
        <v>1</v>
      </c>
      <c r="L74" s="19" t="n">
        <v>3.5</v>
      </c>
      <c r="M74" s="21" t="s">
        <v>621</v>
      </c>
      <c r="N74" s="21" t="s">
        <v>622</v>
      </c>
      <c r="O74" s="20" t="s">
        <v>623</v>
      </c>
      <c r="P74" s="21" t="s">
        <v>624</v>
      </c>
      <c r="Q74" s="21" t="s">
        <v>625</v>
      </c>
    </row>
    <row r="75" customFormat="false" ht="68.65" hidden="false" customHeight="false" outlineLevel="0" collapsed="false">
      <c r="A75" s="19" t="n">
        <v>74</v>
      </c>
      <c r="B75" s="20" t="s">
        <v>7</v>
      </c>
      <c r="C75" s="20" t="s">
        <v>14</v>
      </c>
      <c r="D75" s="19" t="n">
        <v>2021</v>
      </c>
      <c r="E75" s="20" t="s">
        <v>626</v>
      </c>
      <c r="F75" s="21" t="s">
        <v>627</v>
      </c>
      <c r="G75" s="20" t="s">
        <v>628</v>
      </c>
      <c r="H75" s="19" t="n">
        <v>1</v>
      </c>
      <c r="I75" s="19" t="n">
        <v>1</v>
      </c>
      <c r="J75" s="19" t="n">
        <v>0</v>
      </c>
      <c r="K75" s="19" t="n">
        <v>0.5</v>
      </c>
      <c r="L75" s="19" t="n">
        <v>2.5</v>
      </c>
      <c r="M75" s="21" t="s">
        <v>629</v>
      </c>
      <c r="N75" s="21" t="s">
        <v>630</v>
      </c>
      <c r="O75" s="20" t="s">
        <v>631</v>
      </c>
      <c r="P75" s="21" t="s">
        <v>632</v>
      </c>
      <c r="Q75" s="21" t="s">
        <v>633</v>
      </c>
    </row>
    <row r="76" customFormat="false" ht="79.85" hidden="false" customHeight="false" outlineLevel="0" collapsed="false">
      <c r="A76" s="19" t="n">
        <v>75</v>
      </c>
      <c r="B76" s="20" t="s">
        <v>7</v>
      </c>
      <c r="C76" s="20" t="s">
        <v>14</v>
      </c>
      <c r="D76" s="19" t="n">
        <v>2020</v>
      </c>
      <c r="E76" s="20" t="s">
        <v>634</v>
      </c>
      <c r="F76" s="21" t="s">
        <v>635</v>
      </c>
      <c r="G76" s="20" t="s">
        <v>636</v>
      </c>
      <c r="H76" s="19" t="n">
        <v>1</v>
      </c>
      <c r="I76" s="19" t="n">
        <v>1</v>
      </c>
      <c r="J76" s="19" t="n">
        <v>1</v>
      </c>
      <c r="K76" s="19" t="n">
        <v>1</v>
      </c>
      <c r="L76" s="19" t="n">
        <v>4</v>
      </c>
      <c r="M76" s="21" t="s">
        <v>637</v>
      </c>
      <c r="N76" s="21" t="s">
        <v>638</v>
      </c>
      <c r="O76" s="20" t="s">
        <v>639</v>
      </c>
      <c r="P76" s="21" t="s">
        <v>640</v>
      </c>
      <c r="Q76" s="21" t="s">
        <v>641</v>
      </c>
    </row>
    <row r="77" customFormat="false" ht="102.2" hidden="false" customHeight="false" outlineLevel="0" collapsed="false">
      <c r="A77" s="19" t="n">
        <v>76</v>
      </c>
      <c r="B77" s="20" t="s">
        <v>7</v>
      </c>
      <c r="C77" s="20" t="s">
        <v>14</v>
      </c>
      <c r="D77" s="19" t="n">
        <v>2017</v>
      </c>
      <c r="E77" s="20" t="s">
        <v>642</v>
      </c>
      <c r="F77" s="21" t="s">
        <v>643</v>
      </c>
      <c r="G77" s="20" t="s">
        <v>644</v>
      </c>
      <c r="H77" s="19" t="n">
        <v>1</v>
      </c>
      <c r="I77" s="19" t="n">
        <v>1</v>
      </c>
      <c r="J77" s="19" t="n">
        <v>0.5</v>
      </c>
      <c r="K77" s="19" t="n">
        <v>1</v>
      </c>
      <c r="L77" s="19" t="n">
        <v>3.5</v>
      </c>
      <c r="M77" s="21" t="s">
        <v>645</v>
      </c>
      <c r="N77" s="21" t="s">
        <v>646</v>
      </c>
      <c r="O77" s="20" t="s">
        <v>647</v>
      </c>
      <c r="P77" s="21" t="s">
        <v>648</v>
      </c>
      <c r="Q77" s="21" t="s">
        <v>649</v>
      </c>
    </row>
    <row r="78" customFormat="false" ht="68.65" hidden="false" customHeight="false" outlineLevel="0" collapsed="false">
      <c r="A78" s="19" t="n">
        <v>77</v>
      </c>
      <c r="B78" s="20" t="s">
        <v>7</v>
      </c>
      <c r="C78" s="20" t="s">
        <v>14</v>
      </c>
      <c r="D78" s="19" t="n">
        <v>2015</v>
      </c>
      <c r="E78" s="20" t="s">
        <v>650</v>
      </c>
      <c r="F78" s="21" t="s">
        <v>651</v>
      </c>
      <c r="G78" s="20" t="s">
        <v>652</v>
      </c>
      <c r="H78" s="19" t="n">
        <v>1</v>
      </c>
      <c r="I78" s="19" t="n">
        <v>1</v>
      </c>
      <c r="J78" s="19" t="n">
        <v>0.5</v>
      </c>
      <c r="K78" s="19" t="n">
        <v>0.5</v>
      </c>
      <c r="L78" s="19" t="n">
        <v>3</v>
      </c>
      <c r="M78" s="21" t="s">
        <v>653</v>
      </c>
      <c r="N78" s="21" t="s">
        <v>654</v>
      </c>
      <c r="O78" s="20" t="s">
        <v>76</v>
      </c>
      <c r="P78" s="21" t="s">
        <v>655</v>
      </c>
      <c r="Q78" s="21" t="s">
        <v>656</v>
      </c>
    </row>
    <row r="79" customFormat="false" ht="91" hidden="false" customHeight="false" outlineLevel="0" collapsed="false">
      <c r="A79" s="19" t="n">
        <v>78</v>
      </c>
      <c r="B79" s="20" t="s">
        <v>7</v>
      </c>
      <c r="C79" s="20" t="s">
        <v>17</v>
      </c>
      <c r="D79" s="19" t="n">
        <v>2026</v>
      </c>
      <c r="E79" s="20" t="s">
        <v>303</v>
      </c>
      <c r="F79" s="21" t="s">
        <v>657</v>
      </c>
      <c r="G79" s="20" t="s">
        <v>658</v>
      </c>
      <c r="H79" s="19" t="n">
        <v>1</v>
      </c>
      <c r="I79" s="19" t="n">
        <v>1</v>
      </c>
      <c r="J79" s="19" t="n">
        <v>1</v>
      </c>
      <c r="K79" s="19" t="n">
        <v>1</v>
      </c>
      <c r="L79" s="19" t="n">
        <v>4</v>
      </c>
      <c r="M79" s="21" t="s">
        <v>659</v>
      </c>
      <c r="N79" s="21" t="s">
        <v>660</v>
      </c>
      <c r="O79" s="20" t="s">
        <v>661</v>
      </c>
      <c r="P79" s="21" t="s">
        <v>662</v>
      </c>
      <c r="Q79" s="21" t="s">
        <v>663</v>
      </c>
    </row>
    <row r="80" customFormat="false" ht="79.85" hidden="false" customHeight="false" outlineLevel="0" collapsed="false">
      <c r="A80" s="19" t="n">
        <v>79</v>
      </c>
      <c r="B80" s="20" t="s">
        <v>7</v>
      </c>
      <c r="C80" s="20" t="s">
        <v>14</v>
      </c>
      <c r="D80" s="19" t="n">
        <v>2019</v>
      </c>
      <c r="E80" s="20" t="s">
        <v>664</v>
      </c>
      <c r="F80" s="21" t="s">
        <v>665</v>
      </c>
      <c r="G80" s="20" t="s">
        <v>666</v>
      </c>
      <c r="H80" s="19" t="n">
        <v>1</v>
      </c>
      <c r="I80" s="19" t="n">
        <v>1</v>
      </c>
      <c r="J80" s="19" t="n">
        <v>0.5</v>
      </c>
      <c r="K80" s="19" t="n">
        <v>1</v>
      </c>
      <c r="L80" s="19" t="n">
        <v>3.5</v>
      </c>
      <c r="M80" s="21" t="s">
        <v>667</v>
      </c>
      <c r="N80" s="21" t="s">
        <v>668</v>
      </c>
      <c r="O80" s="20" t="s">
        <v>669</v>
      </c>
      <c r="P80" s="21" t="s">
        <v>670</v>
      </c>
      <c r="Q80" s="21" t="s">
        <v>671</v>
      </c>
    </row>
    <row r="81" customFormat="false" ht="79.85" hidden="false" customHeight="false" outlineLevel="0" collapsed="false">
      <c r="A81" s="19" t="n">
        <v>80</v>
      </c>
      <c r="B81" s="20" t="s">
        <v>7</v>
      </c>
      <c r="C81" s="20" t="s">
        <v>14</v>
      </c>
      <c r="D81" s="19" t="n">
        <v>2016</v>
      </c>
      <c r="E81" s="20" t="s">
        <v>672</v>
      </c>
      <c r="F81" s="21" t="s">
        <v>673</v>
      </c>
      <c r="G81" s="20" t="s">
        <v>674</v>
      </c>
      <c r="H81" s="19" t="n">
        <v>1</v>
      </c>
      <c r="I81" s="19" t="n">
        <v>1</v>
      </c>
      <c r="J81" s="19" t="n">
        <v>0.5</v>
      </c>
      <c r="K81" s="19" t="n">
        <v>1</v>
      </c>
      <c r="L81" s="19" t="n">
        <v>3.5</v>
      </c>
      <c r="M81" s="21" t="s">
        <v>675</v>
      </c>
      <c r="N81" s="21" t="s">
        <v>676</v>
      </c>
      <c r="O81" s="20" t="s">
        <v>677</v>
      </c>
      <c r="P81" s="21" t="s">
        <v>678</v>
      </c>
      <c r="Q81" s="21" t="s">
        <v>679</v>
      </c>
    </row>
    <row r="82" customFormat="false" ht="113.4" hidden="false" customHeight="false" outlineLevel="0" collapsed="false">
      <c r="A82" s="19" t="n">
        <v>81</v>
      </c>
      <c r="B82" s="20" t="s">
        <v>7</v>
      </c>
      <c r="C82" s="20" t="s">
        <v>14</v>
      </c>
      <c r="D82" s="19" t="n">
        <v>2022</v>
      </c>
      <c r="E82" s="20" t="s">
        <v>680</v>
      </c>
      <c r="F82" s="21" t="s">
        <v>681</v>
      </c>
      <c r="G82" s="20" t="s">
        <v>682</v>
      </c>
      <c r="H82" s="19" t="n">
        <v>1</v>
      </c>
      <c r="I82" s="19" t="n">
        <v>1</v>
      </c>
      <c r="J82" s="19" t="n">
        <v>0.5</v>
      </c>
      <c r="K82" s="19" t="n">
        <v>1</v>
      </c>
      <c r="L82" s="19" t="n">
        <v>3.5</v>
      </c>
      <c r="M82" s="21" t="s">
        <v>683</v>
      </c>
      <c r="N82" s="21" t="s">
        <v>684</v>
      </c>
      <c r="O82" s="20" t="s">
        <v>685</v>
      </c>
      <c r="P82" s="21" t="s">
        <v>686</v>
      </c>
      <c r="Q82" s="21" t="s">
        <v>687</v>
      </c>
    </row>
    <row r="83" customFormat="false" ht="68.65" hidden="false" customHeight="false" outlineLevel="0" collapsed="false">
      <c r="A83" s="19" t="n">
        <v>82</v>
      </c>
      <c r="B83" s="20" t="s">
        <v>7</v>
      </c>
      <c r="C83" s="20" t="s">
        <v>14</v>
      </c>
      <c r="D83" s="19" t="n">
        <v>2021</v>
      </c>
      <c r="E83" s="20" t="s">
        <v>688</v>
      </c>
      <c r="F83" s="21" t="s">
        <v>689</v>
      </c>
      <c r="G83" s="20" t="s">
        <v>690</v>
      </c>
      <c r="H83" s="19" t="n">
        <v>1</v>
      </c>
      <c r="I83" s="19" t="n">
        <v>1</v>
      </c>
      <c r="J83" s="19" t="n">
        <v>1</v>
      </c>
      <c r="K83" s="19" t="n">
        <v>1</v>
      </c>
      <c r="L83" s="19" t="n">
        <v>4</v>
      </c>
      <c r="M83" s="21" t="s">
        <v>691</v>
      </c>
      <c r="N83" s="21" t="s">
        <v>692</v>
      </c>
      <c r="O83" s="20" t="s">
        <v>693</v>
      </c>
      <c r="P83" s="21" t="s">
        <v>694</v>
      </c>
      <c r="Q83" s="21" t="s">
        <v>695</v>
      </c>
    </row>
    <row r="84" customFormat="false" ht="79.85" hidden="false" customHeight="false" outlineLevel="0" collapsed="false">
      <c r="A84" s="19" t="n">
        <v>83</v>
      </c>
      <c r="B84" s="20" t="s">
        <v>7</v>
      </c>
      <c r="C84" s="20" t="s">
        <v>14</v>
      </c>
      <c r="D84" s="19" t="n">
        <v>2017</v>
      </c>
      <c r="E84" s="20" t="s">
        <v>696</v>
      </c>
      <c r="F84" s="21" t="s">
        <v>697</v>
      </c>
      <c r="G84" s="20" t="s">
        <v>698</v>
      </c>
      <c r="H84" s="19" t="n">
        <v>1</v>
      </c>
      <c r="I84" s="19" t="n">
        <v>1</v>
      </c>
      <c r="J84" s="19" t="n">
        <v>0.5</v>
      </c>
      <c r="K84" s="19" t="n">
        <v>0</v>
      </c>
      <c r="L84" s="19" t="n">
        <v>2.5</v>
      </c>
      <c r="M84" s="21" t="s">
        <v>699</v>
      </c>
      <c r="N84" s="21" t="s">
        <v>700</v>
      </c>
      <c r="O84" s="20" t="s">
        <v>701</v>
      </c>
      <c r="P84" s="21" t="s">
        <v>702</v>
      </c>
      <c r="Q84" s="21" t="s">
        <v>703</v>
      </c>
    </row>
    <row r="85" customFormat="false" ht="68.65" hidden="false" customHeight="false" outlineLevel="0" collapsed="false">
      <c r="A85" s="19" t="n">
        <v>84</v>
      </c>
      <c r="B85" s="20" t="s">
        <v>7</v>
      </c>
      <c r="C85" s="20" t="s">
        <v>14</v>
      </c>
      <c r="D85" s="19" t="n">
        <v>2025</v>
      </c>
      <c r="E85" s="20" t="s">
        <v>704</v>
      </c>
      <c r="F85" s="21" t="s">
        <v>705</v>
      </c>
      <c r="G85" s="20" t="s">
        <v>706</v>
      </c>
      <c r="H85" s="19" t="n">
        <v>1</v>
      </c>
      <c r="I85" s="19" t="n">
        <v>1</v>
      </c>
      <c r="J85" s="19" t="n">
        <v>1</v>
      </c>
      <c r="K85" s="19" t="n">
        <v>1</v>
      </c>
      <c r="L85" s="19" t="n">
        <v>4</v>
      </c>
      <c r="M85" s="21" t="s">
        <v>707</v>
      </c>
      <c r="N85" s="21" t="s">
        <v>708</v>
      </c>
      <c r="O85" s="20" t="s">
        <v>709</v>
      </c>
      <c r="P85" s="21" t="s">
        <v>710</v>
      </c>
      <c r="Q85" s="21" t="s">
        <v>711</v>
      </c>
    </row>
    <row r="86" customFormat="false" ht="79.85" hidden="false" customHeight="false" outlineLevel="0" collapsed="false">
      <c r="A86" s="19" t="n">
        <v>85</v>
      </c>
      <c r="B86" s="20" t="s">
        <v>7</v>
      </c>
      <c r="C86" s="20" t="s">
        <v>14</v>
      </c>
      <c r="D86" s="19" t="n">
        <v>2016</v>
      </c>
      <c r="E86" s="20" t="s">
        <v>712</v>
      </c>
      <c r="F86" s="21" t="s">
        <v>713</v>
      </c>
      <c r="G86" s="20" t="s">
        <v>714</v>
      </c>
      <c r="H86" s="19" t="n">
        <v>1</v>
      </c>
      <c r="I86" s="19" t="n">
        <v>1</v>
      </c>
      <c r="J86" s="19" t="n">
        <v>0.5</v>
      </c>
      <c r="K86" s="19" t="n">
        <v>1</v>
      </c>
      <c r="L86" s="19" t="n">
        <v>3.5</v>
      </c>
      <c r="M86" s="21" t="s">
        <v>715</v>
      </c>
      <c r="N86" s="21" t="s">
        <v>716</v>
      </c>
      <c r="O86" s="20" t="s">
        <v>717</v>
      </c>
      <c r="P86" s="21" t="s">
        <v>718</v>
      </c>
      <c r="Q86" s="21" t="s">
        <v>719</v>
      </c>
    </row>
    <row r="87" customFormat="false" ht="79.85" hidden="false" customHeight="false" outlineLevel="0" collapsed="false">
      <c r="A87" s="19" t="n">
        <v>86</v>
      </c>
      <c r="B87" s="20" t="s">
        <v>7</v>
      </c>
      <c r="C87" s="20" t="s">
        <v>135</v>
      </c>
      <c r="D87" s="19" t="n">
        <v>2020</v>
      </c>
      <c r="E87" s="20" t="s">
        <v>720</v>
      </c>
      <c r="F87" s="21" t="s">
        <v>721</v>
      </c>
      <c r="G87" s="20" t="s">
        <v>722</v>
      </c>
      <c r="H87" s="19" t="n">
        <v>1</v>
      </c>
      <c r="I87" s="19" t="n">
        <v>1</v>
      </c>
      <c r="J87" s="19" t="n">
        <v>1</v>
      </c>
      <c r="K87" s="19" t="n">
        <v>1</v>
      </c>
      <c r="L87" s="19" t="n">
        <v>4</v>
      </c>
      <c r="M87" s="21" t="s">
        <v>723</v>
      </c>
      <c r="N87" s="21" t="s">
        <v>724</v>
      </c>
      <c r="O87" s="20" t="s">
        <v>725</v>
      </c>
      <c r="P87" s="21" t="s">
        <v>726</v>
      </c>
      <c r="Q87" s="21" t="s">
        <v>727</v>
      </c>
    </row>
    <row r="88" customFormat="false" ht="68.65" hidden="false" customHeight="false" outlineLevel="0" collapsed="false">
      <c r="A88" s="19" t="n">
        <v>87</v>
      </c>
      <c r="B88" s="20" t="s">
        <v>8</v>
      </c>
      <c r="C88" s="20" t="s">
        <v>14</v>
      </c>
      <c r="D88" s="19" t="n">
        <v>2016</v>
      </c>
      <c r="E88" s="20" t="s">
        <v>728</v>
      </c>
      <c r="F88" s="21" t="s">
        <v>729</v>
      </c>
      <c r="G88" s="20" t="s">
        <v>730</v>
      </c>
      <c r="H88" s="19" t="n">
        <v>1</v>
      </c>
      <c r="I88" s="19" t="n">
        <v>1</v>
      </c>
      <c r="J88" s="19" t="n">
        <v>0.5</v>
      </c>
      <c r="K88" s="19" t="n">
        <v>1</v>
      </c>
      <c r="L88" s="19" t="n">
        <v>3.5</v>
      </c>
      <c r="M88" s="21" t="s">
        <v>731</v>
      </c>
      <c r="N88" s="21" t="s">
        <v>732</v>
      </c>
      <c r="O88" s="20" t="s">
        <v>733</v>
      </c>
      <c r="P88" s="21" t="s">
        <v>734</v>
      </c>
      <c r="Q88" s="21" t="s">
        <v>735</v>
      </c>
    </row>
    <row r="89" customFormat="false" ht="79.85" hidden="false" customHeight="false" outlineLevel="0" collapsed="false">
      <c r="A89" s="19" t="n">
        <v>88</v>
      </c>
      <c r="B89" s="20" t="s">
        <v>8</v>
      </c>
      <c r="C89" s="20" t="s">
        <v>135</v>
      </c>
      <c r="D89" s="19" t="n">
        <v>2026</v>
      </c>
      <c r="E89" s="20" t="s">
        <v>736</v>
      </c>
      <c r="F89" s="21" t="s">
        <v>737</v>
      </c>
      <c r="G89" s="20" t="s">
        <v>738</v>
      </c>
      <c r="H89" s="19" t="n">
        <v>1</v>
      </c>
      <c r="I89" s="19" t="n">
        <v>1</v>
      </c>
      <c r="J89" s="19" t="n">
        <v>0.5</v>
      </c>
      <c r="K89" s="19" t="n">
        <v>1</v>
      </c>
      <c r="L89" s="19" t="n">
        <v>3.5</v>
      </c>
      <c r="M89" s="21" t="s">
        <v>739</v>
      </c>
      <c r="N89" s="21" t="s">
        <v>740</v>
      </c>
      <c r="O89" s="20" t="s">
        <v>741</v>
      </c>
      <c r="P89" s="21" t="s">
        <v>742</v>
      </c>
      <c r="Q89" s="21" t="s">
        <v>743</v>
      </c>
    </row>
    <row r="90" customFormat="false" ht="79.85" hidden="false" customHeight="false" outlineLevel="0" collapsed="false">
      <c r="A90" s="19" t="n">
        <v>89</v>
      </c>
      <c r="B90" s="20" t="s">
        <v>8</v>
      </c>
      <c r="C90" s="20" t="s">
        <v>14</v>
      </c>
      <c r="D90" s="19" t="n">
        <v>2015</v>
      </c>
      <c r="E90" s="20" t="s">
        <v>744</v>
      </c>
      <c r="F90" s="21" t="s">
        <v>745</v>
      </c>
      <c r="G90" s="20" t="s">
        <v>746</v>
      </c>
      <c r="H90" s="19" t="n">
        <v>1</v>
      </c>
      <c r="I90" s="19" t="n">
        <v>0.5</v>
      </c>
      <c r="J90" s="19" t="n">
        <v>0.5</v>
      </c>
      <c r="K90" s="19" t="n">
        <v>0.5</v>
      </c>
      <c r="L90" s="19" t="n">
        <v>2.5</v>
      </c>
      <c r="M90" s="21" t="s">
        <v>747</v>
      </c>
      <c r="N90" s="21" t="s">
        <v>748</v>
      </c>
      <c r="O90" s="20" t="s">
        <v>749</v>
      </c>
      <c r="P90" s="21" t="s">
        <v>750</v>
      </c>
      <c r="Q90" s="21" t="s">
        <v>751</v>
      </c>
    </row>
    <row r="91" customFormat="false" ht="79.85" hidden="false" customHeight="false" outlineLevel="0" collapsed="false">
      <c r="A91" s="19" t="n">
        <v>90</v>
      </c>
      <c r="B91" s="20" t="s">
        <v>8</v>
      </c>
      <c r="C91" s="20" t="s">
        <v>135</v>
      </c>
      <c r="D91" s="19" t="n">
        <v>2022</v>
      </c>
      <c r="E91" s="20" t="s">
        <v>752</v>
      </c>
      <c r="F91" s="21" t="s">
        <v>753</v>
      </c>
      <c r="G91" s="20" t="s">
        <v>754</v>
      </c>
      <c r="H91" s="19" t="n">
        <v>1</v>
      </c>
      <c r="I91" s="19" t="n">
        <v>1</v>
      </c>
      <c r="J91" s="19" t="n">
        <v>1</v>
      </c>
      <c r="K91" s="19" t="n">
        <v>1</v>
      </c>
      <c r="L91" s="19" t="n">
        <v>4</v>
      </c>
      <c r="M91" s="21" t="s">
        <v>755</v>
      </c>
      <c r="N91" s="21" t="s">
        <v>756</v>
      </c>
      <c r="O91" s="20" t="s">
        <v>757</v>
      </c>
      <c r="P91" s="21" t="s">
        <v>758</v>
      </c>
      <c r="Q91" s="21" t="s">
        <v>759</v>
      </c>
    </row>
    <row r="92" customFormat="false" ht="68.65" hidden="false" customHeight="false" outlineLevel="0" collapsed="false">
      <c r="A92" s="19" t="n">
        <v>91</v>
      </c>
      <c r="B92" s="20" t="s">
        <v>8</v>
      </c>
      <c r="C92" s="20" t="s">
        <v>14</v>
      </c>
      <c r="D92" s="19" t="n">
        <v>2015</v>
      </c>
      <c r="E92" s="20" t="s">
        <v>760</v>
      </c>
      <c r="F92" s="21" t="s">
        <v>761</v>
      </c>
      <c r="G92" s="20" t="s">
        <v>762</v>
      </c>
      <c r="H92" s="19" t="n">
        <v>1</v>
      </c>
      <c r="I92" s="19" t="n">
        <v>1</v>
      </c>
      <c r="J92" s="19" t="n">
        <v>1</v>
      </c>
      <c r="K92" s="19" t="n">
        <v>1</v>
      </c>
      <c r="L92" s="19" t="n">
        <v>4</v>
      </c>
      <c r="M92" s="21" t="s">
        <v>763</v>
      </c>
      <c r="N92" s="21" t="s">
        <v>764</v>
      </c>
      <c r="O92" s="20" t="s">
        <v>765</v>
      </c>
      <c r="P92" s="21" t="s">
        <v>766</v>
      </c>
      <c r="Q92" s="21" t="s">
        <v>767</v>
      </c>
    </row>
    <row r="93" customFormat="false" ht="79.85" hidden="false" customHeight="false" outlineLevel="0" collapsed="false">
      <c r="A93" s="19" t="n">
        <v>92</v>
      </c>
      <c r="B93" s="20" t="s">
        <v>8</v>
      </c>
      <c r="C93" s="20" t="s">
        <v>14</v>
      </c>
      <c r="D93" s="19" t="n">
        <v>2019</v>
      </c>
      <c r="E93" s="20" t="s">
        <v>768</v>
      </c>
      <c r="F93" s="21" t="s">
        <v>769</v>
      </c>
      <c r="G93" s="20" t="s">
        <v>770</v>
      </c>
      <c r="H93" s="19" t="n">
        <v>1</v>
      </c>
      <c r="I93" s="19" t="n">
        <v>1</v>
      </c>
      <c r="J93" s="19" t="n">
        <v>0.5</v>
      </c>
      <c r="K93" s="19" t="n">
        <v>1</v>
      </c>
      <c r="L93" s="19" t="n">
        <v>3.5</v>
      </c>
      <c r="M93" s="21" t="s">
        <v>771</v>
      </c>
      <c r="N93" s="21" t="s">
        <v>772</v>
      </c>
      <c r="O93" s="20" t="s">
        <v>773</v>
      </c>
      <c r="P93" s="21" t="s">
        <v>774</v>
      </c>
      <c r="Q93" s="21" t="s">
        <v>775</v>
      </c>
    </row>
    <row r="94" customFormat="false" ht="46.25" hidden="false" customHeight="false" outlineLevel="0" collapsed="false">
      <c r="A94" s="19" t="n">
        <v>93</v>
      </c>
      <c r="B94" s="20" t="s">
        <v>8</v>
      </c>
      <c r="C94" s="20" t="s">
        <v>14</v>
      </c>
      <c r="D94" s="19" t="n">
        <v>2020</v>
      </c>
      <c r="E94" s="20" t="s">
        <v>776</v>
      </c>
      <c r="F94" s="21" t="s">
        <v>777</v>
      </c>
      <c r="G94" s="20" t="s">
        <v>778</v>
      </c>
      <c r="H94" s="19" t="n">
        <v>1</v>
      </c>
      <c r="I94" s="19" t="n">
        <v>0.5</v>
      </c>
      <c r="J94" s="19" t="n">
        <v>0.5</v>
      </c>
      <c r="K94" s="19" t="n">
        <v>0.5</v>
      </c>
      <c r="L94" s="19" t="n">
        <v>2.5</v>
      </c>
      <c r="M94" s="21" t="s">
        <v>779</v>
      </c>
      <c r="N94" s="21" t="s">
        <v>780</v>
      </c>
      <c r="O94" s="20" t="s">
        <v>781</v>
      </c>
      <c r="P94" s="21" t="s">
        <v>782</v>
      </c>
      <c r="Q94" s="21" t="s">
        <v>783</v>
      </c>
    </row>
    <row r="95" customFormat="false" ht="68.65" hidden="false" customHeight="false" outlineLevel="0" collapsed="false">
      <c r="A95" s="19" t="n">
        <v>94</v>
      </c>
      <c r="B95" s="20" t="s">
        <v>8</v>
      </c>
      <c r="C95" s="20" t="s">
        <v>14</v>
      </c>
      <c r="D95" s="19" t="n">
        <v>2017</v>
      </c>
      <c r="E95" s="20" t="s">
        <v>784</v>
      </c>
      <c r="F95" s="21" t="s">
        <v>785</v>
      </c>
      <c r="G95" s="20" t="s">
        <v>786</v>
      </c>
      <c r="H95" s="19" t="n">
        <v>1</v>
      </c>
      <c r="I95" s="19" t="n">
        <v>0.5</v>
      </c>
      <c r="J95" s="19" t="n">
        <v>1</v>
      </c>
      <c r="K95" s="19" t="n">
        <v>0.5</v>
      </c>
      <c r="L95" s="19" t="n">
        <v>3</v>
      </c>
      <c r="M95" s="21" t="s">
        <v>787</v>
      </c>
      <c r="N95" s="21" t="s">
        <v>788</v>
      </c>
      <c r="O95" s="20" t="s">
        <v>789</v>
      </c>
      <c r="P95" s="21" t="s">
        <v>790</v>
      </c>
      <c r="Q95" s="21" t="s">
        <v>791</v>
      </c>
    </row>
    <row r="96" customFormat="false" ht="57.45" hidden="false" customHeight="false" outlineLevel="0" collapsed="false">
      <c r="A96" s="19" t="n">
        <v>95</v>
      </c>
      <c r="B96" s="20" t="s">
        <v>8</v>
      </c>
      <c r="C96" s="20" t="s">
        <v>14</v>
      </c>
      <c r="D96" s="19" t="n">
        <v>2019</v>
      </c>
      <c r="E96" s="20" t="s">
        <v>792</v>
      </c>
      <c r="F96" s="21" t="s">
        <v>793</v>
      </c>
      <c r="G96" s="20" t="s">
        <v>794</v>
      </c>
      <c r="H96" s="19" t="n">
        <v>1</v>
      </c>
      <c r="I96" s="19" t="n">
        <v>0.5</v>
      </c>
      <c r="J96" s="19" t="n">
        <v>0.5</v>
      </c>
      <c r="K96" s="19" t="n">
        <v>1</v>
      </c>
      <c r="L96" s="19" t="n">
        <v>3</v>
      </c>
      <c r="M96" s="21" t="s">
        <v>795</v>
      </c>
      <c r="N96" s="21" t="s">
        <v>796</v>
      </c>
      <c r="O96" s="20" t="s">
        <v>797</v>
      </c>
      <c r="P96" s="21" t="s">
        <v>798</v>
      </c>
      <c r="Q96" s="21" t="s">
        <v>799</v>
      </c>
    </row>
    <row r="97" customFormat="false" ht="68.65" hidden="false" customHeight="false" outlineLevel="0" collapsed="false">
      <c r="A97" s="19" t="n">
        <v>96</v>
      </c>
      <c r="B97" s="20" t="s">
        <v>8</v>
      </c>
      <c r="C97" s="20" t="s">
        <v>14</v>
      </c>
      <c r="D97" s="19" t="n">
        <v>2019</v>
      </c>
      <c r="E97" s="20" t="s">
        <v>800</v>
      </c>
      <c r="F97" s="21" t="s">
        <v>801</v>
      </c>
      <c r="G97" s="20" t="s">
        <v>802</v>
      </c>
      <c r="H97" s="19" t="n">
        <v>1</v>
      </c>
      <c r="I97" s="19" t="n">
        <v>1</v>
      </c>
      <c r="J97" s="19" t="n">
        <v>1</v>
      </c>
      <c r="K97" s="19" t="n">
        <v>1</v>
      </c>
      <c r="L97" s="19" t="n">
        <v>4</v>
      </c>
      <c r="M97" s="21" t="s">
        <v>803</v>
      </c>
      <c r="N97" s="21" t="s">
        <v>804</v>
      </c>
      <c r="O97" s="20" t="s">
        <v>805</v>
      </c>
      <c r="P97" s="21" t="s">
        <v>806</v>
      </c>
      <c r="Q97" s="21" t="s">
        <v>807</v>
      </c>
    </row>
    <row r="98" customFormat="false" ht="68.65" hidden="false" customHeight="false" outlineLevel="0" collapsed="false">
      <c r="A98" s="19" t="n">
        <v>97</v>
      </c>
      <c r="B98" s="20" t="s">
        <v>8</v>
      </c>
      <c r="C98" s="20" t="s">
        <v>135</v>
      </c>
      <c r="D98" s="19" t="n">
        <v>2018</v>
      </c>
      <c r="E98" s="20" t="s">
        <v>808</v>
      </c>
      <c r="F98" s="21" t="s">
        <v>809</v>
      </c>
      <c r="G98" s="20" t="s">
        <v>810</v>
      </c>
      <c r="H98" s="19" t="n">
        <v>1</v>
      </c>
      <c r="I98" s="19" t="n">
        <v>1</v>
      </c>
      <c r="J98" s="19" t="n">
        <v>1</v>
      </c>
      <c r="K98" s="19" t="n">
        <v>1</v>
      </c>
      <c r="L98" s="19" t="n">
        <v>4</v>
      </c>
      <c r="M98" s="21" t="s">
        <v>811</v>
      </c>
      <c r="N98" s="21" t="s">
        <v>812</v>
      </c>
      <c r="O98" s="20" t="s">
        <v>813</v>
      </c>
      <c r="P98" s="21" t="s">
        <v>814</v>
      </c>
      <c r="Q98" s="21" t="s">
        <v>815</v>
      </c>
    </row>
    <row r="99" customFormat="false" ht="79.85" hidden="false" customHeight="false" outlineLevel="0" collapsed="false">
      <c r="A99" s="19" t="n">
        <v>98</v>
      </c>
      <c r="B99" s="20" t="s">
        <v>8</v>
      </c>
      <c r="C99" s="20" t="s">
        <v>135</v>
      </c>
      <c r="D99" s="19" t="n">
        <v>2026</v>
      </c>
      <c r="E99" s="20" t="s">
        <v>816</v>
      </c>
      <c r="F99" s="21" t="s">
        <v>817</v>
      </c>
      <c r="G99" s="20" t="s">
        <v>818</v>
      </c>
      <c r="H99" s="19" t="n">
        <v>1</v>
      </c>
      <c r="I99" s="19" t="n">
        <v>1</v>
      </c>
      <c r="J99" s="19" t="n">
        <v>1</v>
      </c>
      <c r="K99" s="19" t="n">
        <v>1</v>
      </c>
      <c r="L99" s="19" t="n">
        <v>4</v>
      </c>
      <c r="M99" s="21" t="s">
        <v>819</v>
      </c>
      <c r="N99" s="21" t="s">
        <v>820</v>
      </c>
      <c r="O99" s="20" t="s">
        <v>821</v>
      </c>
      <c r="P99" s="21" t="s">
        <v>822</v>
      </c>
      <c r="Q99" s="21" t="s">
        <v>823</v>
      </c>
    </row>
    <row r="100" customFormat="false" ht="57.45" hidden="false" customHeight="false" outlineLevel="0" collapsed="false">
      <c r="A100" s="19" t="n">
        <v>99</v>
      </c>
      <c r="B100" s="20" t="s">
        <v>8</v>
      </c>
      <c r="C100" s="20" t="s">
        <v>14</v>
      </c>
      <c r="D100" s="19" t="n">
        <v>2015</v>
      </c>
      <c r="E100" s="20" t="s">
        <v>824</v>
      </c>
      <c r="F100" s="21" t="s">
        <v>825</v>
      </c>
      <c r="G100" s="20" t="s">
        <v>826</v>
      </c>
      <c r="H100" s="19" t="n">
        <v>1</v>
      </c>
      <c r="I100" s="19" t="n">
        <v>0.5</v>
      </c>
      <c r="J100" s="19" t="n">
        <v>0.5</v>
      </c>
      <c r="K100" s="19" t="n">
        <v>1</v>
      </c>
      <c r="L100" s="19" t="n">
        <v>3</v>
      </c>
      <c r="M100" s="21" t="s">
        <v>827</v>
      </c>
      <c r="N100" s="21" t="s">
        <v>828</v>
      </c>
      <c r="O100" s="20" t="s">
        <v>829</v>
      </c>
      <c r="P100" s="21" t="s">
        <v>830</v>
      </c>
      <c r="Q100" s="21" t="s">
        <v>831</v>
      </c>
    </row>
    <row r="101" customFormat="false" ht="79.85" hidden="false" customHeight="false" outlineLevel="0" collapsed="false">
      <c r="A101" s="19" t="n">
        <v>100</v>
      </c>
      <c r="B101" s="20" t="s">
        <v>9</v>
      </c>
      <c r="C101" s="20" t="s">
        <v>14</v>
      </c>
      <c r="D101" s="19" t="n">
        <v>2022</v>
      </c>
      <c r="E101" s="20" t="s">
        <v>832</v>
      </c>
      <c r="F101" s="21" t="s">
        <v>833</v>
      </c>
      <c r="G101" s="20" t="s">
        <v>834</v>
      </c>
      <c r="H101" s="19" t="n">
        <v>1</v>
      </c>
      <c r="I101" s="19" t="n">
        <v>1</v>
      </c>
      <c r="J101" s="19" t="n">
        <v>0.5</v>
      </c>
      <c r="K101" s="19" t="n">
        <v>1</v>
      </c>
      <c r="L101" s="19" t="n">
        <v>3.5</v>
      </c>
      <c r="M101" s="21" t="s">
        <v>835</v>
      </c>
      <c r="N101" s="21" t="s">
        <v>836</v>
      </c>
      <c r="O101" s="20" t="s">
        <v>837</v>
      </c>
      <c r="P101" s="21" t="s">
        <v>838</v>
      </c>
      <c r="Q101" s="21" t="s">
        <v>839</v>
      </c>
    </row>
    <row r="102" customFormat="false" ht="91" hidden="false" customHeight="false" outlineLevel="0" collapsed="false">
      <c r="A102" s="19" t="n">
        <v>101</v>
      </c>
      <c r="B102" s="20" t="s">
        <v>9</v>
      </c>
      <c r="C102" s="20" t="s">
        <v>135</v>
      </c>
      <c r="D102" s="19" t="n">
        <v>2020</v>
      </c>
      <c r="E102" s="20" t="s">
        <v>840</v>
      </c>
      <c r="F102" s="21" t="s">
        <v>841</v>
      </c>
      <c r="G102" s="20" t="s">
        <v>842</v>
      </c>
      <c r="H102" s="19" t="n">
        <v>1</v>
      </c>
      <c r="I102" s="19" t="n">
        <v>1</v>
      </c>
      <c r="J102" s="19" t="n">
        <v>0.5</v>
      </c>
      <c r="K102" s="19" t="n">
        <v>1</v>
      </c>
      <c r="L102" s="19" t="n">
        <v>3.5</v>
      </c>
      <c r="M102" s="21" t="s">
        <v>843</v>
      </c>
      <c r="N102" s="21" t="s">
        <v>844</v>
      </c>
      <c r="O102" s="20" t="s">
        <v>845</v>
      </c>
      <c r="P102" s="21" t="s">
        <v>846</v>
      </c>
      <c r="Q102" s="21" t="s">
        <v>847</v>
      </c>
    </row>
    <row r="103" customFormat="false" ht="68.65" hidden="false" customHeight="false" outlineLevel="0" collapsed="false">
      <c r="A103" s="19" t="n">
        <v>102</v>
      </c>
      <c r="B103" s="20" t="s">
        <v>9</v>
      </c>
      <c r="C103" s="20" t="s">
        <v>135</v>
      </c>
      <c r="D103" s="19" t="n">
        <v>2018</v>
      </c>
      <c r="E103" s="20" t="s">
        <v>848</v>
      </c>
      <c r="F103" s="21" t="s">
        <v>849</v>
      </c>
      <c r="G103" s="20" t="s">
        <v>850</v>
      </c>
      <c r="H103" s="19" t="n">
        <v>1</v>
      </c>
      <c r="I103" s="19" t="n">
        <v>0.5</v>
      </c>
      <c r="J103" s="19" t="n">
        <v>1</v>
      </c>
      <c r="K103" s="19" t="n">
        <v>1</v>
      </c>
      <c r="L103" s="19" t="n">
        <v>3.5</v>
      </c>
      <c r="M103" s="21" t="s">
        <v>851</v>
      </c>
      <c r="N103" s="21" t="s">
        <v>852</v>
      </c>
      <c r="O103" s="20" t="s">
        <v>76</v>
      </c>
      <c r="P103" s="21" t="s">
        <v>853</v>
      </c>
      <c r="Q103" s="21" t="s">
        <v>854</v>
      </c>
    </row>
    <row r="104" customFormat="false" ht="113.4" hidden="false" customHeight="false" outlineLevel="0" collapsed="false">
      <c r="A104" s="19" t="n">
        <v>103</v>
      </c>
      <c r="B104" s="20" t="s">
        <v>9</v>
      </c>
      <c r="C104" s="20" t="s">
        <v>14</v>
      </c>
      <c r="D104" s="19" t="n">
        <v>2025</v>
      </c>
      <c r="E104" s="20" t="s">
        <v>855</v>
      </c>
      <c r="F104" s="21" t="s">
        <v>856</v>
      </c>
      <c r="G104" s="20" t="s">
        <v>857</v>
      </c>
      <c r="H104" s="19" t="n">
        <v>1</v>
      </c>
      <c r="I104" s="19" t="n">
        <v>1</v>
      </c>
      <c r="J104" s="19" t="n">
        <v>1</v>
      </c>
      <c r="K104" s="19" t="n">
        <v>1</v>
      </c>
      <c r="L104" s="19" t="n">
        <v>4</v>
      </c>
      <c r="M104" s="21" t="s">
        <v>858</v>
      </c>
      <c r="N104" s="21" t="s">
        <v>859</v>
      </c>
      <c r="O104" s="20" t="s">
        <v>860</v>
      </c>
      <c r="P104" s="21" t="s">
        <v>861</v>
      </c>
      <c r="Q104" s="21" t="s">
        <v>862</v>
      </c>
    </row>
    <row r="105" customFormat="false" ht="79.85" hidden="false" customHeight="false" outlineLevel="0" collapsed="false">
      <c r="A105" s="19" t="n">
        <v>104</v>
      </c>
      <c r="B105" s="20" t="s">
        <v>9</v>
      </c>
      <c r="C105" s="20" t="s">
        <v>14</v>
      </c>
      <c r="D105" s="19" t="n">
        <v>2026</v>
      </c>
      <c r="E105" s="20" t="s">
        <v>863</v>
      </c>
      <c r="F105" s="21" t="s">
        <v>864</v>
      </c>
      <c r="G105" s="20" t="s">
        <v>865</v>
      </c>
      <c r="H105" s="19" t="n">
        <v>1</v>
      </c>
      <c r="I105" s="19" t="n">
        <v>1</v>
      </c>
      <c r="J105" s="19" t="n">
        <v>0.5</v>
      </c>
      <c r="K105" s="19" t="n">
        <v>1</v>
      </c>
      <c r="L105" s="19" t="n">
        <v>3.5</v>
      </c>
      <c r="M105" s="21" t="s">
        <v>866</v>
      </c>
      <c r="N105" s="21" t="s">
        <v>867</v>
      </c>
      <c r="O105" s="20" t="s">
        <v>868</v>
      </c>
      <c r="P105" s="21" t="s">
        <v>869</v>
      </c>
      <c r="Q105" s="21" t="s">
        <v>870</v>
      </c>
    </row>
    <row r="106" customFormat="false" ht="79.85" hidden="false" customHeight="false" outlineLevel="0" collapsed="false">
      <c r="A106" s="19" t="n">
        <v>105</v>
      </c>
      <c r="B106" s="20" t="s">
        <v>9</v>
      </c>
      <c r="C106" s="20" t="s">
        <v>14</v>
      </c>
      <c r="D106" s="19" t="n">
        <v>2021</v>
      </c>
      <c r="E106" s="20" t="s">
        <v>871</v>
      </c>
      <c r="F106" s="21" t="s">
        <v>872</v>
      </c>
      <c r="G106" s="20" t="s">
        <v>873</v>
      </c>
      <c r="H106" s="19" t="n">
        <v>1</v>
      </c>
      <c r="I106" s="19" t="n">
        <v>1</v>
      </c>
      <c r="J106" s="19" t="n">
        <v>1</v>
      </c>
      <c r="K106" s="19" t="n">
        <v>1</v>
      </c>
      <c r="L106" s="19" t="n">
        <v>4</v>
      </c>
      <c r="M106" s="21" t="s">
        <v>874</v>
      </c>
      <c r="N106" s="21" t="s">
        <v>875</v>
      </c>
      <c r="O106" s="20" t="s">
        <v>876</v>
      </c>
      <c r="P106" s="21" t="s">
        <v>877</v>
      </c>
      <c r="Q106" s="21" t="s">
        <v>878</v>
      </c>
    </row>
    <row r="107" customFormat="false" ht="91" hidden="false" customHeight="false" outlineLevel="0" collapsed="false">
      <c r="A107" s="19" t="n">
        <v>106</v>
      </c>
      <c r="B107" s="20" t="s">
        <v>9</v>
      </c>
      <c r="C107" s="20" t="s">
        <v>14</v>
      </c>
      <c r="D107" s="19" t="n">
        <v>2026</v>
      </c>
      <c r="E107" s="20" t="s">
        <v>879</v>
      </c>
      <c r="F107" s="21" t="s">
        <v>880</v>
      </c>
      <c r="G107" s="20" t="s">
        <v>881</v>
      </c>
      <c r="H107" s="19" t="n">
        <v>1</v>
      </c>
      <c r="I107" s="19" t="n">
        <v>1</v>
      </c>
      <c r="J107" s="19" t="n">
        <v>1</v>
      </c>
      <c r="K107" s="19" t="n">
        <v>1</v>
      </c>
      <c r="L107" s="19" t="n">
        <v>4</v>
      </c>
      <c r="M107" s="21" t="s">
        <v>882</v>
      </c>
      <c r="N107" s="21" t="s">
        <v>883</v>
      </c>
      <c r="O107" s="20" t="s">
        <v>884</v>
      </c>
      <c r="P107" s="21" t="s">
        <v>885</v>
      </c>
      <c r="Q107" s="21" t="s">
        <v>886</v>
      </c>
    </row>
    <row r="108" customFormat="false" ht="79.85" hidden="false" customHeight="false" outlineLevel="0" collapsed="false">
      <c r="A108" s="19" t="n">
        <v>107</v>
      </c>
      <c r="B108" s="20" t="s">
        <v>9</v>
      </c>
      <c r="C108" s="20" t="s">
        <v>135</v>
      </c>
      <c r="D108" s="19" t="n">
        <v>2017</v>
      </c>
      <c r="E108" s="20" t="s">
        <v>887</v>
      </c>
      <c r="F108" s="21" t="s">
        <v>888</v>
      </c>
      <c r="G108" s="20" t="s">
        <v>889</v>
      </c>
      <c r="H108" s="19" t="n">
        <v>1</v>
      </c>
      <c r="I108" s="19" t="n">
        <v>0.5</v>
      </c>
      <c r="J108" s="19" t="n">
        <v>0.5</v>
      </c>
      <c r="K108" s="19" t="n">
        <v>0.5</v>
      </c>
      <c r="L108" s="19" t="n">
        <v>2.5</v>
      </c>
      <c r="M108" s="21" t="s">
        <v>890</v>
      </c>
      <c r="N108" s="21" t="s">
        <v>891</v>
      </c>
      <c r="O108" s="20" t="s">
        <v>892</v>
      </c>
      <c r="P108" s="21" t="s">
        <v>893</v>
      </c>
      <c r="Q108" s="21" t="s">
        <v>894</v>
      </c>
    </row>
    <row r="109" customFormat="false" ht="68.65" hidden="false" customHeight="false" outlineLevel="0" collapsed="false">
      <c r="A109" s="19" t="n">
        <v>108</v>
      </c>
      <c r="B109" s="20" t="s">
        <v>9</v>
      </c>
      <c r="C109" s="20" t="s">
        <v>135</v>
      </c>
      <c r="D109" s="19" t="n">
        <v>2016</v>
      </c>
      <c r="E109" s="20" t="s">
        <v>895</v>
      </c>
      <c r="F109" s="21" t="s">
        <v>896</v>
      </c>
      <c r="G109" s="20" t="s">
        <v>897</v>
      </c>
      <c r="H109" s="19" t="n">
        <v>1</v>
      </c>
      <c r="I109" s="19" t="n">
        <v>1</v>
      </c>
      <c r="J109" s="19" t="n">
        <v>1</v>
      </c>
      <c r="K109" s="19" t="n">
        <v>1</v>
      </c>
      <c r="L109" s="19" t="n">
        <v>4</v>
      </c>
      <c r="M109" s="21" t="s">
        <v>898</v>
      </c>
      <c r="N109" s="21" t="s">
        <v>899</v>
      </c>
      <c r="O109" s="20" t="s">
        <v>76</v>
      </c>
      <c r="P109" s="21" t="s">
        <v>900</v>
      </c>
      <c r="Q109" s="21" t="s">
        <v>901</v>
      </c>
    </row>
  </sheetData>
  <autoFilter ref="A1:Q10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0"/>
    <col collapsed="false" customWidth="true" hidden="false" outlineLevel="0" max="3" min="3" style="0" width="18"/>
    <col collapsed="false" customWidth="true" hidden="false" outlineLevel="0" max="4" min="4" style="0" width="6"/>
    <col collapsed="false" customWidth="true" hidden="false" outlineLevel="0" max="5" min="5" style="0" width="24"/>
    <col collapsed="false" customWidth="true" hidden="false" outlineLevel="0" max="6" min="6" style="0" width="48"/>
    <col collapsed="false" customWidth="true" hidden="false" outlineLevel="0" max="7" min="7" style="0" width="26"/>
    <col collapsed="false" customWidth="true" hidden="false" outlineLevel="0" max="8" min="8" style="0" width="10"/>
    <col collapsed="false" customWidth="true" hidden="false" outlineLevel="0" max="9" min="9" style="0" width="26"/>
    <col collapsed="false" customWidth="true" hidden="false" outlineLevel="0" max="10" min="10" style="0" width="44"/>
  </cols>
  <sheetData>
    <row r="1" customFormat="false" ht="26.85" hidden="false" customHeight="false" outlineLevel="0" collapsed="false">
      <c r="A1" s="4" t="s">
        <v>41</v>
      </c>
      <c r="B1" s="4" t="s">
        <v>3</v>
      </c>
      <c r="C1" s="4" t="s">
        <v>902</v>
      </c>
      <c r="D1" s="4" t="s">
        <v>43</v>
      </c>
      <c r="E1" s="4" t="s">
        <v>44</v>
      </c>
      <c r="F1" s="4" t="s">
        <v>45</v>
      </c>
      <c r="G1" s="4" t="s">
        <v>46</v>
      </c>
      <c r="H1" s="4" t="s">
        <v>51</v>
      </c>
      <c r="I1" s="4" t="s">
        <v>20</v>
      </c>
      <c r="J1" s="4" t="s">
        <v>903</v>
      </c>
    </row>
    <row r="2" customFormat="false" ht="68.65" hidden="false" customHeight="false" outlineLevel="0" collapsed="false">
      <c r="A2" s="19" t="n">
        <v>1</v>
      </c>
      <c r="B2" s="20" t="s">
        <v>7</v>
      </c>
      <c r="C2" s="20" t="s">
        <v>135</v>
      </c>
      <c r="D2" s="19" t="n">
        <v>2016</v>
      </c>
      <c r="E2" s="20" t="s">
        <v>904</v>
      </c>
      <c r="F2" s="21" t="s">
        <v>905</v>
      </c>
      <c r="G2" s="20" t="s">
        <v>906</v>
      </c>
      <c r="H2" s="19" t="n">
        <v>3</v>
      </c>
      <c r="I2" s="22" t="s">
        <v>21</v>
      </c>
      <c r="J2" s="21" t="s">
        <v>907</v>
      </c>
    </row>
    <row r="3" customFormat="false" ht="46.25" hidden="false" customHeight="false" outlineLevel="0" collapsed="false">
      <c r="A3" s="19" t="n">
        <v>2</v>
      </c>
      <c r="B3" s="20" t="s">
        <v>7</v>
      </c>
      <c r="C3" s="20" t="s">
        <v>14</v>
      </c>
      <c r="D3" s="19" t="n">
        <v>2018</v>
      </c>
      <c r="E3" s="20" t="s">
        <v>908</v>
      </c>
      <c r="F3" s="21" t="s">
        <v>909</v>
      </c>
      <c r="G3" s="20" t="s">
        <v>910</v>
      </c>
      <c r="H3" s="19" t="n">
        <v>3.5</v>
      </c>
      <c r="I3" s="22" t="s">
        <v>21</v>
      </c>
      <c r="J3" s="21" t="s">
        <v>911</v>
      </c>
    </row>
    <row r="4" customFormat="false" ht="46.25" hidden="false" customHeight="false" outlineLevel="0" collapsed="false">
      <c r="A4" s="19" t="n">
        <v>3</v>
      </c>
      <c r="B4" s="20" t="s">
        <v>7</v>
      </c>
      <c r="C4" s="20" t="s">
        <v>14</v>
      </c>
      <c r="D4" s="19" t="n">
        <v>2022</v>
      </c>
      <c r="E4" s="20" t="s">
        <v>912</v>
      </c>
      <c r="F4" s="21" t="s">
        <v>913</v>
      </c>
      <c r="G4" s="20" t="s">
        <v>914</v>
      </c>
      <c r="H4" s="19" t="n">
        <v>4</v>
      </c>
      <c r="I4" s="22" t="s">
        <v>21</v>
      </c>
      <c r="J4" s="21" t="s">
        <v>915</v>
      </c>
    </row>
    <row r="5" customFormat="false" ht="46.25" hidden="false" customHeight="false" outlineLevel="0" collapsed="false">
      <c r="A5" s="19" t="n">
        <v>4</v>
      </c>
      <c r="B5" s="20" t="s">
        <v>7</v>
      </c>
      <c r="C5" s="20" t="s">
        <v>14</v>
      </c>
      <c r="D5" s="19" t="n">
        <v>2022</v>
      </c>
      <c r="E5" s="20" t="s">
        <v>916</v>
      </c>
      <c r="F5" s="21" t="s">
        <v>917</v>
      </c>
      <c r="G5" s="20" t="s">
        <v>918</v>
      </c>
      <c r="H5" s="19" t="n">
        <v>2</v>
      </c>
      <c r="I5" s="22" t="s">
        <v>23</v>
      </c>
      <c r="J5" s="21" t="s">
        <v>919</v>
      </c>
    </row>
    <row r="6" customFormat="false" ht="46.25" hidden="false" customHeight="false" outlineLevel="0" collapsed="false">
      <c r="A6" s="19" t="n">
        <v>5</v>
      </c>
      <c r="B6" s="20" t="s">
        <v>7</v>
      </c>
      <c r="C6" s="20" t="s">
        <v>14</v>
      </c>
      <c r="D6" s="19" t="n">
        <v>2021</v>
      </c>
      <c r="E6" s="20" t="s">
        <v>920</v>
      </c>
      <c r="F6" s="21" t="s">
        <v>921</v>
      </c>
      <c r="G6" s="20" t="s">
        <v>922</v>
      </c>
      <c r="H6" s="19" t="n">
        <v>1.5</v>
      </c>
      <c r="I6" s="22" t="s">
        <v>22</v>
      </c>
      <c r="J6" s="21" t="s">
        <v>923</v>
      </c>
    </row>
    <row r="7" customFormat="false" ht="46.25" hidden="false" customHeight="false" outlineLevel="0" collapsed="false">
      <c r="A7" s="19" t="n">
        <v>6</v>
      </c>
      <c r="B7" s="20" t="s">
        <v>7</v>
      </c>
      <c r="C7" s="20" t="s">
        <v>14</v>
      </c>
      <c r="D7" s="19" t="n">
        <v>2019</v>
      </c>
      <c r="E7" s="20" t="s">
        <v>924</v>
      </c>
      <c r="F7" s="21" t="s">
        <v>925</v>
      </c>
      <c r="G7" s="20" t="s">
        <v>926</v>
      </c>
      <c r="H7" s="19" t="n">
        <v>4</v>
      </c>
      <c r="I7" s="22" t="s">
        <v>21</v>
      </c>
      <c r="J7" s="21" t="s">
        <v>927</v>
      </c>
    </row>
    <row r="8" customFormat="false" ht="46.25" hidden="false" customHeight="false" outlineLevel="0" collapsed="false">
      <c r="A8" s="19" t="n">
        <v>7</v>
      </c>
      <c r="B8" s="20" t="s">
        <v>7</v>
      </c>
      <c r="C8" s="20" t="s">
        <v>14</v>
      </c>
      <c r="D8" s="19" t="n">
        <v>2020</v>
      </c>
      <c r="E8" s="20" t="s">
        <v>928</v>
      </c>
      <c r="F8" s="21" t="s">
        <v>929</v>
      </c>
      <c r="G8" s="20" t="s">
        <v>930</v>
      </c>
      <c r="H8" s="19" t="n">
        <v>4</v>
      </c>
      <c r="I8" s="22" t="s">
        <v>21</v>
      </c>
      <c r="J8" s="21" t="s">
        <v>931</v>
      </c>
    </row>
    <row r="9" customFormat="false" ht="46.25" hidden="false" customHeight="false" outlineLevel="0" collapsed="false">
      <c r="A9" s="19" t="n">
        <v>8</v>
      </c>
      <c r="B9" s="20" t="s">
        <v>7</v>
      </c>
      <c r="C9" s="20" t="s">
        <v>14</v>
      </c>
      <c r="D9" s="19" t="n">
        <v>2019</v>
      </c>
      <c r="E9" s="20" t="s">
        <v>932</v>
      </c>
      <c r="F9" s="21" t="s">
        <v>933</v>
      </c>
      <c r="G9" s="20" t="s">
        <v>934</v>
      </c>
      <c r="H9" s="19" t="n">
        <v>3.5</v>
      </c>
      <c r="I9" s="22" t="s">
        <v>21</v>
      </c>
      <c r="J9" s="21" t="s">
        <v>935</v>
      </c>
    </row>
    <row r="10" customFormat="false" ht="46.25" hidden="false" customHeight="false" outlineLevel="0" collapsed="false">
      <c r="A10" s="19" t="n">
        <v>9</v>
      </c>
      <c r="B10" s="20" t="s">
        <v>7</v>
      </c>
      <c r="C10" s="20" t="s">
        <v>14</v>
      </c>
      <c r="D10" s="19" t="n">
        <v>2020</v>
      </c>
      <c r="E10" s="20" t="s">
        <v>936</v>
      </c>
      <c r="F10" s="21" t="s">
        <v>937</v>
      </c>
      <c r="G10" s="20" t="s">
        <v>938</v>
      </c>
      <c r="H10" s="19" t="n">
        <v>4</v>
      </c>
      <c r="I10" s="22" t="s">
        <v>21</v>
      </c>
      <c r="J10" s="21" t="s">
        <v>939</v>
      </c>
    </row>
    <row r="11" customFormat="false" ht="46.25" hidden="false" customHeight="false" outlineLevel="0" collapsed="false">
      <c r="A11" s="19" t="n">
        <v>10</v>
      </c>
      <c r="B11" s="20" t="s">
        <v>7</v>
      </c>
      <c r="C11" s="20" t="s">
        <v>14</v>
      </c>
      <c r="D11" s="19" t="n">
        <v>2016</v>
      </c>
      <c r="E11" s="20" t="s">
        <v>940</v>
      </c>
      <c r="F11" s="21" t="s">
        <v>941</v>
      </c>
      <c r="G11" s="20" t="s">
        <v>942</v>
      </c>
      <c r="H11" s="19" t="n">
        <v>1.5</v>
      </c>
      <c r="I11" s="22" t="s">
        <v>22</v>
      </c>
      <c r="J11" s="21" t="s">
        <v>943</v>
      </c>
    </row>
    <row r="12" customFormat="false" ht="57.45" hidden="false" customHeight="false" outlineLevel="0" collapsed="false">
      <c r="A12" s="19" t="n">
        <v>11</v>
      </c>
      <c r="B12" s="20" t="s">
        <v>7</v>
      </c>
      <c r="C12" s="20" t="s">
        <v>135</v>
      </c>
      <c r="D12" s="19" t="n">
        <v>2018</v>
      </c>
      <c r="E12" s="20" t="s">
        <v>944</v>
      </c>
      <c r="F12" s="21" t="s">
        <v>945</v>
      </c>
      <c r="G12" s="20" t="s">
        <v>946</v>
      </c>
      <c r="H12" s="19" t="n">
        <v>4</v>
      </c>
      <c r="I12" s="22" t="s">
        <v>21</v>
      </c>
      <c r="J12" s="21" t="s">
        <v>947</v>
      </c>
    </row>
    <row r="13" customFormat="false" ht="68.65" hidden="false" customHeight="false" outlineLevel="0" collapsed="false">
      <c r="A13" s="19" t="n">
        <v>12</v>
      </c>
      <c r="B13" s="20" t="s">
        <v>7</v>
      </c>
      <c r="C13" s="20" t="s">
        <v>14</v>
      </c>
      <c r="D13" s="19" t="n">
        <v>2018</v>
      </c>
      <c r="E13" s="20" t="s">
        <v>948</v>
      </c>
      <c r="F13" s="21" t="s">
        <v>949</v>
      </c>
      <c r="G13" s="20" t="s">
        <v>950</v>
      </c>
      <c r="H13" s="19" t="n">
        <v>3.5</v>
      </c>
      <c r="I13" s="22" t="s">
        <v>21</v>
      </c>
      <c r="J13" s="21" t="s">
        <v>951</v>
      </c>
    </row>
    <row r="14" customFormat="false" ht="57.45" hidden="false" customHeight="false" outlineLevel="0" collapsed="false">
      <c r="A14" s="19" t="n">
        <v>13</v>
      </c>
      <c r="B14" s="20" t="s">
        <v>7</v>
      </c>
      <c r="C14" s="20" t="s">
        <v>14</v>
      </c>
      <c r="D14" s="19" t="n">
        <v>2020</v>
      </c>
      <c r="E14" s="20" t="s">
        <v>952</v>
      </c>
      <c r="F14" s="21" t="s">
        <v>953</v>
      </c>
      <c r="G14" s="20" t="s">
        <v>954</v>
      </c>
      <c r="H14" s="19" t="n">
        <v>4</v>
      </c>
      <c r="I14" s="22" t="s">
        <v>21</v>
      </c>
      <c r="J14" s="21" t="s">
        <v>955</v>
      </c>
    </row>
    <row r="15" customFormat="false" ht="57.45" hidden="false" customHeight="false" outlineLevel="0" collapsed="false">
      <c r="A15" s="19" t="n">
        <v>14</v>
      </c>
      <c r="B15" s="20" t="s">
        <v>7</v>
      </c>
      <c r="C15" s="20" t="s">
        <v>14</v>
      </c>
      <c r="D15" s="19" t="n">
        <v>2022</v>
      </c>
      <c r="E15" s="20" t="s">
        <v>956</v>
      </c>
      <c r="F15" s="21" t="s">
        <v>957</v>
      </c>
      <c r="G15" s="20" t="s">
        <v>958</v>
      </c>
      <c r="H15" s="19" t="n">
        <v>3.5</v>
      </c>
      <c r="I15" s="22" t="s">
        <v>21</v>
      </c>
      <c r="J15" s="21" t="s">
        <v>959</v>
      </c>
    </row>
    <row r="16" customFormat="false" ht="46.25" hidden="false" customHeight="false" outlineLevel="0" collapsed="false">
      <c r="A16" s="19" t="n">
        <v>15</v>
      </c>
      <c r="B16" s="20" t="s">
        <v>7</v>
      </c>
      <c r="C16" s="20" t="s">
        <v>14</v>
      </c>
      <c r="D16" s="19" t="n">
        <v>2023</v>
      </c>
      <c r="E16" s="20" t="s">
        <v>960</v>
      </c>
      <c r="F16" s="21" t="s">
        <v>961</v>
      </c>
      <c r="G16" s="20" t="s">
        <v>962</v>
      </c>
      <c r="H16" s="19" t="n">
        <v>1.5</v>
      </c>
      <c r="I16" s="22" t="s">
        <v>21</v>
      </c>
      <c r="J16" s="21" t="s">
        <v>963</v>
      </c>
    </row>
    <row r="17" customFormat="false" ht="46.25" hidden="false" customHeight="false" outlineLevel="0" collapsed="false">
      <c r="A17" s="19" t="n">
        <v>16</v>
      </c>
      <c r="B17" s="20" t="s">
        <v>7</v>
      </c>
      <c r="C17" s="20" t="s">
        <v>14</v>
      </c>
      <c r="D17" s="19" t="n">
        <v>2018</v>
      </c>
      <c r="E17" s="20" t="s">
        <v>964</v>
      </c>
      <c r="F17" s="21" t="s">
        <v>965</v>
      </c>
      <c r="G17" s="20" t="s">
        <v>966</v>
      </c>
      <c r="H17" s="19" t="n">
        <v>4</v>
      </c>
      <c r="I17" s="22" t="s">
        <v>21</v>
      </c>
      <c r="J17" s="21" t="s">
        <v>967</v>
      </c>
    </row>
    <row r="18" customFormat="false" ht="91" hidden="false" customHeight="false" outlineLevel="0" collapsed="false">
      <c r="A18" s="19" t="n">
        <v>17</v>
      </c>
      <c r="B18" s="20" t="s">
        <v>7</v>
      </c>
      <c r="C18" s="20" t="s">
        <v>14</v>
      </c>
      <c r="D18" s="19" t="n">
        <v>2025</v>
      </c>
      <c r="E18" s="20" t="s">
        <v>968</v>
      </c>
      <c r="F18" s="21" t="s">
        <v>969</v>
      </c>
      <c r="G18" s="20" t="s">
        <v>970</v>
      </c>
      <c r="H18" s="19" t="n">
        <v>4</v>
      </c>
      <c r="I18" s="22" t="s">
        <v>21</v>
      </c>
      <c r="J18" s="21" t="s">
        <v>971</v>
      </c>
    </row>
    <row r="19" customFormat="false" ht="57.45" hidden="false" customHeight="false" outlineLevel="0" collapsed="false">
      <c r="A19" s="19" t="n">
        <v>18</v>
      </c>
      <c r="B19" s="20" t="s">
        <v>7</v>
      </c>
      <c r="C19" s="20" t="s">
        <v>14</v>
      </c>
      <c r="D19" s="19" t="n">
        <v>2025</v>
      </c>
      <c r="E19" s="20" t="s">
        <v>972</v>
      </c>
      <c r="F19" s="21" t="s">
        <v>973</v>
      </c>
      <c r="G19" s="20" t="s">
        <v>974</v>
      </c>
      <c r="H19" s="19" t="n">
        <v>4</v>
      </c>
      <c r="I19" s="22" t="s">
        <v>21</v>
      </c>
      <c r="J19" s="21" t="s">
        <v>975</v>
      </c>
    </row>
    <row r="20" customFormat="false" ht="57.45" hidden="false" customHeight="false" outlineLevel="0" collapsed="false">
      <c r="A20" s="19" t="n">
        <v>19</v>
      </c>
      <c r="B20" s="20" t="s">
        <v>7</v>
      </c>
      <c r="C20" s="20" t="s">
        <v>14</v>
      </c>
      <c r="D20" s="19" t="n">
        <v>2019</v>
      </c>
      <c r="E20" s="20" t="s">
        <v>976</v>
      </c>
      <c r="F20" s="21" t="s">
        <v>977</v>
      </c>
      <c r="G20" s="20" t="s">
        <v>978</v>
      </c>
      <c r="H20" s="19" t="n">
        <v>4</v>
      </c>
      <c r="I20" s="22" t="s">
        <v>21</v>
      </c>
      <c r="J20" s="21" t="s">
        <v>979</v>
      </c>
    </row>
    <row r="21" customFormat="false" ht="68.65" hidden="false" customHeight="false" outlineLevel="0" collapsed="false">
      <c r="A21" s="19" t="n">
        <v>20</v>
      </c>
      <c r="B21" s="20" t="s">
        <v>7</v>
      </c>
      <c r="C21" s="20" t="s">
        <v>14</v>
      </c>
      <c r="D21" s="19" t="n">
        <v>2022</v>
      </c>
      <c r="E21" s="20" t="s">
        <v>980</v>
      </c>
      <c r="F21" s="21" t="s">
        <v>981</v>
      </c>
      <c r="G21" s="20" t="s">
        <v>982</v>
      </c>
      <c r="H21" s="19" t="n">
        <v>2.5</v>
      </c>
      <c r="I21" s="22" t="s">
        <v>21</v>
      </c>
      <c r="J21" s="21" t="s">
        <v>983</v>
      </c>
    </row>
    <row r="22" customFormat="false" ht="79.85" hidden="false" customHeight="false" outlineLevel="0" collapsed="false">
      <c r="A22" s="19" t="n">
        <v>21</v>
      </c>
      <c r="B22" s="20" t="s">
        <v>7</v>
      </c>
      <c r="C22" s="20" t="s">
        <v>135</v>
      </c>
      <c r="D22" s="19" t="n">
        <v>2024</v>
      </c>
      <c r="E22" s="20" t="s">
        <v>303</v>
      </c>
      <c r="F22" s="21" t="s">
        <v>984</v>
      </c>
      <c r="G22" s="20" t="s">
        <v>985</v>
      </c>
      <c r="H22" s="19" t="n">
        <v>1.5</v>
      </c>
      <c r="I22" s="22" t="s">
        <v>21</v>
      </c>
      <c r="J22" s="21" t="s">
        <v>986</v>
      </c>
    </row>
    <row r="23" customFormat="false" ht="57.45" hidden="false" customHeight="false" outlineLevel="0" collapsed="false">
      <c r="A23" s="19" t="n">
        <v>22</v>
      </c>
      <c r="B23" s="20" t="s">
        <v>7</v>
      </c>
      <c r="C23" s="20" t="s">
        <v>14</v>
      </c>
      <c r="D23" s="19" t="n">
        <v>2015</v>
      </c>
      <c r="E23" s="20" t="s">
        <v>303</v>
      </c>
      <c r="F23" s="21" t="s">
        <v>987</v>
      </c>
      <c r="G23" s="20" t="s">
        <v>988</v>
      </c>
      <c r="H23" s="19" t="n">
        <v>3</v>
      </c>
      <c r="I23" s="22" t="s">
        <v>21</v>
      </c>
      <c r="J23" s="21" t="s">
        <v>989</v>
      </c>
    </row>
    <row r="24" customFormat="false" ht="46.25" hidden="false" customHeight="false" outlineLevel="0" collapsed="false">
      <c r="A24" s="19" t="n">
        <v>23</v>
      </c>
      <c r="B24" s="20" t="s">
        <v>7</v>
      </c>
      <c r="C24" s="20" t="s">
        <v>14</v>
      </c>
      <c r="D24" s="19" t="n">
        <v>2019</v>
      </c>
      <c r="E24" s="20" t="s">
        <v>990</v>
      </c>
      <c r="F24" s="21" t="s">
        <v>991</v>
      </c>
      <c r="G24" s="20" t="s">
        <v>992</v>
      </c>
      <c r="H24" s="19" t="n">
        <v>1.5</v>
      </c>
      <c r="I24" s="22" t="s">
        <v>22</v>
      </c>
      <c r="J24" s="21" t="s">
        <v>993</v>
      </c>
    </row>
    <row r="25" customFormat="false" ht="79.85" hidden="false" customHeight="false" outlineLevel="0" collapsed="false">
      <c r="A25" s="19" t="n">
        <v>24</v>
      </c>
      <c r="B25" s="20" t="s">
        <v>7</v>
      </c>
      <c r="C25" s="20" t="s">
        <v>135</v>
      </c>
      <c r="D25" s="19" t="n">
        <v>2020</v>
      </c>
      <c r="E25" s="20" t="s">
        <v>994</v>
      </c>
      <c r="F25" s="21" t="s">
        <v>995</v>
      </c>
      <c r="G25" s="20" t="s">
        <v>996</v>
      </c>
      <c r="H25" s="19" t="n">
        <v>3.5</v>
      </c>
      <c r="I25" s="22" t="s">
        <v>21</v>
      </c>
      <c r="J25" s="21" t="s">
        <v>997</v>
      </c>
    </row>
    <row r="26" customFormat="false" ht="46.25" hidden="false" customHeight="false" outlineLevel="0" collapsed="false">
      <c r="A26" s="19" t="n">
        <v>25</v>
      </c>
      <c r="B26" s="20" t="s">
        <v>7</v>
      </c>
      <c r="C26" s="20" t="s">
        <v>14</v>
      </c>
      <c r="D26" s="19" t="n">
        <v>2018</v>
      </c>
      <c r="E26" s="20" t="s">
        <v>998</v>
      </c>
      <c r="F26" s="21" t="s">
        <v>999</v>
      </c>
      <c r="G26" s="20" t="s">
        <v>1000</v>
      </c>
      <c r="H26" s="19" t="n">
        <v>1.5</v>
      </c>
      <c r="I26" s="22" t="s">
        <v>22</v>
      </c>
      <c r="J26" s="21" t="s">
        <v>1001</v>
      </c>
    </row>
    <row r="27" customFormat="false" ht="68.65" hidden="false" customHeight="false" outlineLevel="0" collapsed="false">
      <c r="A27" s="19" t="n">
        <v>26</v>
      </c>
      <c r="B27" s="20" t="s">
        <v>7</v>
      </c>
      <c r="C27" s="20" t="s">
        <v>14</v>
      </c>
      <c r="D27" s="19" t="n">
        <v>2025</v>
      </c>
      <c r="E27" s="20" t="s">
        <v>1002</v>
      </c>
      <c r="F27" s="21" t="s">
        <v>1003</v>
      </c>
      <c r="G27" s="20" t="s">
        <v>1004</v>
      </c>
      <c r="H27" s="19" t="n">
        <v>1.5</v>
      </c>
      <c r="I27" s="22" t="s">
        <v>22</v>
      </c>
      <c r="J27" s="21" t="s">
        <v>1005</v>
      </c>
    </row>
    <row r="28" customFormat="false" ht="68.65" hidden="false" customHeight="false" outlineLevel="0" collapsed="false">
      <c r="A28" s="19" t="n">
        <v>27</v>
      </c>
      <c r="B28" s="20" t="s">
        <v>7</v>
      </c>
      <c r="C28" s="20" t="s">
        <v>14</v>
      </c>
      <c r="D28" s="19" t="n">
        <v>2025</v>
      </c>
      <c r="E28" s="20" t="s">
        <v>1006</v>
      </c>
      <c r="F28" s="21" t="s">
        <v>1007</v>
      </c>
      <c r="G28" s="20" t="s">
        <v>1008</v>
      </c>
      <c r="H28" s="19" t="n">
        <v>1.5</v>
      </c>
      <c r="I28" s="22" t="s">
        <v>22</v>
      </c>
      <c r="J28" s="21" t="s">
        <v>1009</v>
      </c>
    </row>
    <row r="29" customFormat="false" ht="68.65" hidden="false" customHeight="false" outlineLevel="0" collapsed="false">
      <c r="A29" s="19" t="n">
        <v>28</v>
      </c>
      <c r="B29" s="20" t="s">
        <v>7</v>
      </c>
      <c r="C29" s="20" t="s">
        <v>135</v>
      </c>
      <c r="D29" s="19" t="n">
        <v>2016</v>
      </c>
      <c r="E29" s="20" t="s">
        <v>1010</v>
      </c>
      <c r="F29" s="21" t="s">
        <v>1011</v>
      </c>
      <c r="G29" s="20" t="s">
        <v>1012</v>
      </c>
      <c r="H29" s="19" t="n">
        <v>3.5</v>
      </c>
      <c r="I29" s="22" t="s">
        <v>21</v>
      </c>
      <c r="J29" s="21" t="s">
        <v>1013</v>
      </c>
    </row>
    <row r="30" customFormat="false" ht="57.45" hidden="false" customHeight="false" outlineLevel="0" collapsed="false">
      <c r="A30" s="19" t="n">
        <v>29</v>
      </c>
      <c r="B30" s="20" t="s">
        <v>7</v>
      </c>
      <c r="C30" s="20" t="s">
        <v>14</v>
      </c>
      <c r="D30" s="19" t="n">
        <v>2021</v>
      </c>
      <c r="E30" s="20" t="s">
        <v>1014</v>
      </c>
      <c r="F30" s="21" t="s">
        <v>1015</v>
      </c>
      <c r="G30" s="20" t="s">
        <v>1016</v>
      </c>
      <c r="H30" s="19" t="n">
        <v>1.5</v>
      </c>
      <c r="I30" s="22" t="s">
        <v>22</v>
      </c>
      <c r="J30" s="21" t="s">
        <v>1017</v>
      </c>
    </row>
    <row r="31" customFormat="false" ht="35.05" hidden="false" customHeight="false" outlineLevel="0" collapsed="false">
      <c r="A31" s="19" t="n">
        <v>30</v>
      </c>
      <c r="B31" s="20" t="s">
        <v>7</v>
      </c>
      <c r="C31" s="20" t="s">
        <v>14</v>
      </c>
      <c r="D31" s="19" t="n">
        <v>2017</v>
      </c>
      <c r="E31" s="20" t="s">
        <v>1018</v>
      </c>
      <c r="F31" s="21" t="s">
        <v>1019</v>
      </c>
      <c r="G31" s="20" t="s">
        <v>1020</v>
      </c>
      <c r="H31" s="19" t="n">
        <v>1.5</v>
      </c>
      <c r="I31" s="22" t="s">
        <v>22</v>
      </c>
      <c r="J31" s="21" t="s">
        <v>1021</v>
      </c>
    </row>
    <row r="32" customFormat="false" ht="46.25" hidden="false" customHeight="false" outlineLevel="0" collapsed="false">
      <c r="A32" s="19" t="n">
        <v>31</v>
      </c>
      <c r="B32" s="20" t="s">
        <v>7</v>
      </c>
      <c r="C32" s="20" t="s">
        <v>14</v>
      </c>
      <c r="D32" s="19" t="n">
        <v>2019</v>
      </c>
      <c r="E32" s="20" t="s">
        <v>1022</v>
      </c>
      <c r="F32" s="21" t="s">
        <v>1023</v>
      </c>
      <c r="G32" s="20" t="s">
        <v>1024</v>
      </c>
      <c r="H32" s="19" t="n">
        <v>1.5</v>
      </c>
      <c r="I32" s="22" t="s">
        <v>22</v>
      </c>
      <c r="J32" s="21" t="s">
        <v>1025</v>
      </c>
    </row>
    <row r="33" customFormat="false" ht="46.25" hidden="false" customHeight="false" outlineLevel="0" collapsed="false">
      <c r="A33" s="19" t="n">
        <v>32</v>
      </c>
      <c r="B33" s="20" t="s">
        <v>7</v>
      </c>
      <c r="C33" s="20" t="s">
        <v>14</v>
      </c>
      <c r="D33" s="19" t="n">
        <v>2023</v>
      </c>
      <c r="E33" s="20" t="s">
        <v>1026</v>
      </c>
      <c r="F33" s="21" t="s">
        <v>1027</v>
      </c>
      <c r="G33" s="20" t="s">
        <v>1028</v>
      </c>
      <c r="H33" s="19" t="n">
        <v>3</v>
      </c>
      <c r="I33" s="22" t="s">
        <v>21</v>
      </c>
      <c r="J33" s="21" t="s">
        <v>1029</v>
      </c>
    </row>
    <row r="34" customFormat="false" ht="68.65" hidden="false" customHeight="false" outlineLevel="0" collapsed="false">
      <c r="A34" s="19" t="n">
        <v>33</v>
      </c>
      <c r="B34" s="20" t="s">
        <v>7</v>
      </c>
      <c r="C34" s="20" t="s">
        <v>14</v>
      </c>
      <c r="D34" s="19" t="n">
        <v>2017</v>
      </c>
      <c r="E34" s="20" t="s">
        <v>303</v>
      </c>
      <c r="F34" s="21" t="s">
        <v>1030</v>
      </c>
      <c r="G34" s="20" t="s">
        <v>1031</v>
      </c>
      <c r="H34" s="19" t="n">
        <v>1.5</v>
      </c>
      <c r="I34" s="22" t="s">
        <v>22</v>
      </c>
      <c r="J34" s="21" t="s">
        <v>1032</v>
      </c>
    </row>
    <row r="35" customFormat="false" ht="57.45" hidden="false" customHeight="false" outlineLevel="0" collapsed="false">
      <c r="A35" s="19" t="n">
        <v>34</v>
      </c>
      <c r="B35" s="20" t="s">
        <v>7</v>
      </c>
      <c r="C35" s="20" t="s">
        <v>14</v>
      </c>
      <c r="D35" s="19" t="n">
        <v>2015</v>
      </c>
      <c r="E35" s="20" t="s">
        <v>1033</v>
      </c>
      <c r="F35" s="21" t="s">
        <v>1034</v>
      </c>
      <c r="G35" s="20" t="s">
        <v>1035</v>
      </c>
      <c r="H35" s="19" t="n">
        <v>1.5</v>
      </c>
      <c r="I35" s="22" t="s">
        <v>22</v>
      </c>
      <c r="J35" s="21" t="s">
        <v>1036</v>
      </c>
    </row>
    <row r="36" customFormat="false" ht="68.65" hidden="false" customHeight="false" outlineLevel="0" collapsed="false">
      <c r="A36" s="19" t="n">
        <v>35</v>
      </c>
      <c r="B36" s="20" t="s">
        <v>7</v>
      </c>
      <c r="C36" s="20" t="s">
        <v>14</v>
      </c>
      <c r="D36" s="19" t="n">
        <v>2017</v>
      </c>
      <c r="E36" s="20" t="s">
        <v>1037</v>
      </c>
      <c r="F36" s="21" t="s">
        <v>1038</v>
      </c>
      <c r="G36" s="20" t="s">
        <v>1039</v>
      </c>
      <c r="H36" s="19" t="n">
        <v>4</v>
      </c>
      <c r="I36" s="22" t="s">
        <v>23</v>
      </c>
      <c r="J36" s="21" t="s">
        <v>1040</v>
      </c>
    </row>
    <row r="37" customFormat="false" ht="46.25" hidden="false" customHeight="false" outlineLevel="0" collapsed="false">
      <c r="A37" s="19" t="n">
        <v>36</v>
      </c>
      <c r="B37" s="20" t="s">
        <v>8</v>
      </c>
      <c r="C37" s="20" t="s">
        <v>14</v>
      </c>
      <c r="D37" s="19" t="n">
        <v>2017</v>
      </c>
      <c r="E37" s="20" t="s">
        <v>303</v>
      </c>
      <c r="F37" s="21" t="s">
        <v>1041</v>
      </c>
      <c r="G37" s="20" t="s">
        <v>1042</v>
      </c>
      <c r="H37" s="19" t="n">
        <v>2.5</v>
      </c>
      <c r="I37" s="22" t="s">
        <v>23</v>
      </c>
      <c r="J37" s="21" t="s">
        <v>1043</v>
      </c>
    </row>
    <row r="38" customFormat="false" ht="68.65" hidden="false" customHeight="false" outlineLevel="0" collapsed="false">
      <c r="A38" s="19" t="n">
        <v>37</v>
      </c>
      <c r="B38" s="20" t="s">
        <v>8</v>
      </c>
      <c r="C38" s="20" t="s">
        <v>14</v>
      </c>
      <c r="D38" s="19" t="n">
        <v>2022</v>
      </c>
      <c r="E38" s="20" t="s">
        <v>1044</v>
      </c>
      <c r="F38" s="21" t="s">
        <v>1045</v>
      </c>
      <c r="G38" s="20" t="s">
        <v>1046</v>
      </c>
      <c r="H38" s="19" t="n">
        <v>2.5</v>
      </c>
      <c r="I38" s="22" t="s">
        <v>21</v>
      </c>
      <c r="J38" s="21" t="s">
        <v>1047</v>
      </c>
    </row>
    <row r="39" customFormat="false" ht="57.45" hidden="false" customHeight="false" outlineLevel="0" collapsed="false">
      <c r="A39" s="19" t="n">
        <v>38</v>
      </c>
      <c r="B39" s="20" t="s">
        <v>8</v>
      </c>
      <c r="C39" s="20" t="s">
        <v>135</v>
      </c>
      <c r="D39" s="19" t="n">
        <v>2018</v>
      </c>
      <c r="E39" s="20" t="s">
        <v>1048</v>
      </c>
      <c r="F39" s="21" t="s">
        <v>1049</v>
      </c>
      <c r="G39" s="20" t="s">
        <v>1050</v>
      </c>
      <c r="H39" s="19" t="n">
        <v>2</v>
      </c>
      <c r="I39" s="22" t="s">
        <v>21</v>
      </c>
      <c r="J39" s="21" t="s">
        <v>1051</v>
      </c>
    </row>
    <row r="40" customFormat="false" ht="46.25" hidden="false" customHeight="false" outlineLevel="0" collapsed="false">
      <c r="A40" s="19" t="n">
        <v>39</v>
      </c>
      <c r="B40" s="20" t="s">
        <v>8</v>
      </c>
      <c r="C40" s="20" t="s">
        <v>14</v>
      </c>
      <c r="D40" s="19" t="n">
        <v>2018</v>
      </c>
      <c r="E40" s="20" t="s">
        <v>1052</v>
      </c>
      <c r="F40" s="21" t="s">
        <v>1053</v>
      </c>
      <c r="G40" s="20" t="s">
        <v>1054</v>
      </c>
      <c r="H40" s="19" t="n">
        <v>1.5</v>
      </c>
      <c r="I40" s="22" t="s">
        <v>22</v>
      </c>
      <c r="J40" s="21" t="s">
        <v>1055</v>
      </c>
    </row>
    <row r="41" customFormat="false" ht="46.25" hidden="false" customHeight="false" outlineLevel="0" collapsed="false">
      <c r="A41" s="19" t="n">
        <v>40</v>
      </c>
      <c r="B41" s="20" t="s">
        <v>8</v>
      </c>
      <c r="C41" s="20" t="s">
        <v>14</v>
      </c>
      <c r="D41" s="19" t="n">
        <v>2016</v>
      </c>
      <c r="E41" s="20" t="s">
        <v>1056</v>
      </c>
      <c r="F41" s="21" t="s">
        <v>1057</v>
      </c>
      <c r="G41" s="20" t="s">
        <v>1058</v>
      </c>
      <c r="H41" s="19" t="n">
        <v>1.5</v>
      </c>
      <c r="I41" s="22" t="s">
        <v>22</v>
      </c>
      <c r="J41" s="21" t="s">
        <v>1059</v>
      </c>
    </row>
    <row r="42" customFormat="false" ht="57.45" hidden="false" customHeight="false" outlineLevel="0" collapsed="false">
      <c r="A42" s="19" t="n">
        <v>41</v>
      </c>
      <c r="B42" s="20" t="s">
        <v>8</v>
      </c>
      <c r="C42" s="20" t="s">
        <v>135</v>
      </c>
      <c r="D42" s="19" t="n">
        <v>2026</v>
      </c>
      <c r="E42" s="20" t="s">
        <v>1060</v>
      </c>
      <c r="F42" s="21" t="s">
        <v>1061</v>
      </c>
      <c r="G42" s="20" t="s">
        <v>1062</v>
      </c>
      <c r="H42" s="19" t="n">
        <v>2.5</v>
      </c>
      <c r="I42" s="22" t="s">
        <v>21</v>
      </c>
      <c r="J42" s="21" t="s">
        <v>1063</v>
      </c>
    </row>
    <row r="43" customFormat="false" ht="35.05" hidden="false" customHeight="false" outlineLevel="0" collapsed="false">
      <c r="A43" s="19" t="n">
        <v>42</v>
      </c>
      <c r="B43" s="20" t="s">
        <v>8</v>
      </c>
      <c r="C43" s="20" t="s">
        <v>14</v>
      </c>
      <c r="D43" s="19" t="n">
        <v>2021</v>
      </c>
      <c r="E43" s="20" t="s">
        <v>1064</v>
      </c>
      <c r="F43" s="21" t="s">
        <v>1065</v>
      </c>
      <c r="G43" s="20" t="s">
        <v>1066</v>
      </c>
      <c r="H43" s="19" t="n">
        <v>1.5</v>
      </c>
      <c r="I43" s="22" t="s">
        <v>22</v>
      </c>
      <c r="J43" s="21" t="s">
        <v>1067</v>
      </c>
    </row>
    <row r="44" customFormat="false" ht="68.65" hidden="false" customHeight="false" outlineLevel="0" collapsed="false">
      <c r="A44" s="19" t="n">
        <v>43</v>
      </c>
      <c r="B44" s="20" t="s">
        <v>8</v>
      </c>
      <c r="C44" s="20" t="s">
        <v>14</v>
      </c>
      <c r="D44" s="19" t="n">
        <v>2016</v>
      </c>
      <c r="E44" s="20" t="s">
        <v>1068</v>
      </c>
      <c r="F44" s="21" t="s">
        <v>1069</v>
      </c>
      <c r="G44" s="20" t="s">
        <v>1070</v>
      </c>
      <c r="H44" s="19" t="n">
        <v>1.5</v>
      </c>
      <c r="I44" s="22" t="s">
        <v>22</v>
      </c>
      <c r="J44" s="21" t="s">
        <v>1071</v>
      </c>
    </row>
    <row r="45" customFormat="false" ht="46.25" hidden="false" customHeight="false" outlineLevel="0" collapsed="false">
      <c r="A45" s="19" t="n">
        <v>44</v>
      </c>
      <c r="B45" s="20" t="s">
        <v>8</v>
      </c>
      <c r="C45" s="20" t="s">
        <v>135</v>
      </c>
      <c r="D45" s="19" t="n">
        <v>2018</v>
      </c>
      <c r="E45" s="20" t="s">
        <v>1072</v>
      </c>
      <c r="F45" s="21" t="s">
        <v>1073</v>
      </c>
      <c r="G45" s="20" t="s">
        <v>1074</v>
      </c>
      <c r="H45" s="19" t="n">
        <v>3.5</v>
      </c>
      <c r="I45" s="22" t="s">
        <v>21</v>
      </c>
      <c r="J45" s="21" t="s">
        <v>1075</v>
      </c>
    </row>
    <row r="46" customFormat="false" ht="57.45" hidden="false" customHeight="false" outlineLevel="0" collapsed="false">
      <c r="A46" s="19" t="n">
        <v>45</v>
      </c>
      <c r="B46" s="20" t="s">
        <v>9</v>
      </c>
      <c r="C46" s="20" t="s">
        <v>135</v>
      </c>
      <c r="D46" s="19" t="n">
        <v>2016</v>
      </c>
      <c r="E46" s="20" t="s">
        <v>1076</v>
      </c>
      <c r="F46" s="21" t="s">
        <v>1077</v>
      </c>
      <c r="G46" s="20" t="s">
        <v>1078</v>
      </c>
      <c r="H46" s="19" t="n">
        <v>0.5</v>
      </c>
      <c r="I46" s="22" t="s">
        <v>22</v>
      </c>
      <c r="J46" s="21" t="s">
        <v>1079</v>
      </c>
    </row>
    <row r="47" customFormat="false" ht="68.65" hidden="false" customHeight="false" outlineLevel="0" collapsed="false">
      <c r="A47" s="19" t="n">
        <v>46</v>
      </c>
      <c r="B47" s="20" t="s">
        <v>9</v>
      </c>
      <c r="C47" s="20" t="s">
        <v>14</v>
      </c>
      <c r="D47" s="19" t="n">
        <v>2019</v>
      </c>
      <c r="E47" s="20" t="s">
        <v>303</v>
      </c>
      <c r="F47" s="21" t="s">
        <v>1080</v>
      </c>
      <c r="G47" s="20" t="s">
        <v>1081</v>
      </c>
      <c r="H47" s="19" t="n">
        <v>2</v>
      </c>
      <c r="I47" s="22" t="s">
        <v>21</v>
      </c>
      <c r="J47" s="21" t="s">
        <v>1082</v>
      </c>
    </row>
  </sheetData>
  <autoFilter ref="A1:J4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2026-07-26T06:36:59Z</dcterms:created>
  <dc:creator>openpyxl</dc:creator>
  <dc:description/>
  <dc:language>en-US</dc:language>
  <cp:lastModifiedBy/>
  <dcterms:modified xsi:type="dcterms:W3CDTF">2026-07-26T06:36:59Z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