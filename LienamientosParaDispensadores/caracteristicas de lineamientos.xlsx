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d.docs.live.net/be774611e3f780df/Documentos/"/>
    </mc:Choice>
  </mc:AlternateContent>
  <xr:revisionPtr revIDLastSave="353" documentId="8_{560ED6E1-943C-49B7-9A91-4EBF4A82D438}" xr6:coauthVersionLast="47" xr6:coauthVersionMax="47" xr10:uidLastSave="{646567FF-29A3-4C7B-B9F8-3452F21A8ECC}"/>
  <bookViews>
    <workbookView minimized="1" xWindow="3120" yWindow="3120" windowWidth="10590" windowHeight="8580" xr2:uid="{2041B1B1-6EA9-4B88-ADCC-29B9092A033B}"/>
  </bookViews>
  <sheets>
    <sheet name="Hoja1" sheetId="1" r:id="rId1"/>
    <sheet name="Hoja2" sheetId="2" r:id="rId2"/>
  </sheets>
  <externalReferences>
    <externalReference r:id="rId3"/>
  </externalReferences>
  <definedNames>
    <definedName name="_xlnm._FilterDatabase" localSheetId="0" hidden="1">Hoja1!$C$1:$C$26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22" i="1" l="1"/>
  <c r="AG23" i="1"/>
  <c r="AG24" i="1"/>
  <c r="AG25" i="1"/>
  <c r="AG26" i="1"/>
  <c r="AG27" i="1"/>
  <c r="AG28" i="1"/>
  <c r="AG29" i="1"/>
  <c r="AG30" i="1"/>
  <c r="AG14" i="1"/>
  <c r="AG15" i="1"/>
  <c r="AG16" i="1"/>
  <c r="AG17" i="1"/>
  <c r="AG18" i="1"/>
  <c r="AG19" i="1"/>
  <c r="AG20" i="1"/>
  <c r="AG21" i="1"/>
  <c r="AG7" i="1"/>
  <c r="AG8" i="1"/>
  <c r="AG9" i="1"/>
  <c r="AG10" i="1"/>
  <c r="AG11" i="1"/>
  <c r="AG12" i="1"/>
  <c r="AG13" i="1"/>
  <c r="AG6" i="1"/>
  <c r="AG5" i="1"/>
  <c r="AN24" i="1" a="1"/>
  <c r="AN24" i="1" s="1"/>
  <c r="AN5" i="1" a="1"/>
  <c r="AN5" i="1" s="1"/>
  <c r="AJ5" i="1" a="1"/>
  <c r="AJ5" i="1" s="1"/>
  <c r="AJ10" i="1" a="1"/>
  <c r="AJ10" i="1" s="1"/>
  <c r="AJ23" i="1" a="1"/>
  <c r="AJ23" i="1" s="1"/>
  <c r="AL19" i="1" a="1"/>
  <c r="AL19" i="1" s="1"/>
  <c r="AL12" i="1" a="1"/>
  <c r="AL12" i="1" s="1"/>
  <c r="AL13" i="1" a="1"/>
  <c r="AL13" i="1" s="1"/>
  <c r="AL14" i="1" a="1"/>
  <c r="AL14" i="1" s="1"/>
  <c r="AL15" i="1" a="1"/>
  <c r="AL15" i="1" s="1"/>
  <c r="AL17" i="1" a="1"/>
  <c r="AL17" i="1" s="1"/>
  <c r="AL18" i="1" a="1"/>
  <c r="AL18" i="1" s="1"/>
  <c r="AJ19" i="1" a="1"/>
  <c r="AJ19" i="1" s="1"/>
  <c r="AJ14" i="1" a="1"/>
  <c r="AJ14" i="1" s="1"/>
  <c r="AJ15" i="1" a="1"/>
  <c r="AJ15" i="1" s="1"/>
  <c r="AJ17" i="1" a="1"/>
  <c r="AJ17" i="1" s="1"/>
  <c r="AJ18" i="1" a="1"/>
  <c r="AJ18" i="1" s="1"/>
  <c r="AN22" i="1" a="1"/>
  <c r="AN22" i="1" s="1"/>
  <c r="AN20" i="1" a="1"/>
  <c r="AN20" i="1" s="1"/>
  <c r="AJ22" i="1" a="1"/>
  <c r="AJ22" i="1" s="1"/>
  <c r="AL22" i="1" a="1"/>
  <c r="AL22" i="1" s="1"/>
  <c r="AJ20" i="1" a="1"/>
  <c r="AJ20" i="1" s="1"/>
  <c r="AL20" i="1" a="1"/>
  <c r="AL20" i="1" s="1"/>
  <c r="AL11" i="1" a="1"/>
  <c r="AL11" i="1" s="1"/>
  <c r="AJ11" i="1" a="1"/>
  <c r="AJ11" i="1" s="1"/>
  <c r="AN10" i="1" a="1"/>
  <c r="AN10" i="1" s="1"/>
  <c r="AL10" i="1" a="1"/>
  <c r="AL10" i="1" s="1"/>
  <c r="AJ13" i="1" a="1"/>
  <c r="AJ13" i="1" s="1"/>
  <c r="AJ12" i="1" a="1"/>
  <c r="AJ12" i="1" s="1"/>
  <c r="AL5" i="1" a="1"/>
  <c r="AL5" i="1" s="1"/>
  <c r="AJ7" i="1" a="1"/>
  <c r="AJ7" i="1" s="1"/>
  <c r="AL7" i="1" a="1"/>
  <c r="AL7" i="1" s="1"/>
  <c r="AX3" i="1"/>
  <c r="AU3" i="1"/>
  <c r="AL23" i="1" a="1"/>
  <c r="AL2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tc={5B89B7EB-DB63-459B-AD3C-45B79E8EE573}</author>
    <author>tc={AABBF094-5ADC-43AE-9425-82D7C8A85E8D}</author>
    <author>tc={7449DC92-876A-404F-BDCC-58475FDF984A}</author>
    <author>tc={9553ABA5-5240-4F20-B38C-E9557A9999DD}</author>
    <author>tc={63C65421-F66C-4D8C-8781-7841CD7C8541}</author>
    <author>tc={1365E55E-7EA8-429E-8581-7B0A0170105E}</author>
    <author>tc={ED5750AD-BD4C-4CA5-9F5C-8A45B950879B}</author>
    <author>tc={C45943B3-61A3-4322-9105-E4DF0DAED71F}</author>
    <author>tc={29501BDA-A604-4C6B-AB82-789353FA7A2C}</author>
    <author>tc={128D7DC3-541B-4D76-AE07-5CF2718B7435}</author>
    <author>tc={C88E036B-4851-4B22-B813-3C5A543488FA}</author>
    <author>tc={8E1F0734-8CEA-4D87-A0F8-F2E8375E1CDC}</author>
    <author>tc={D1D7AA1A-2FBB-4856-BB89-97C832535B85}</author>
    <author>tc={3D33F6A8-B063-436A-95FA-D8DD68CA1E35}</author>
    <author>tc={42A41DD6-6134-495A-8346-E5274669378F}</author>
    <author>tc={92DD069A-38BC-49BB-AF8A-0837E0880D63}</author>
    <author>tc={6FB96442-A9BC-4C9E-8A61-D5C8F79B8B54}</author>
    <author>tc={3707C3A8-B2CF-453E-AED7-B952FB7BFD9E}</author>
    <author>tc={42161452-676A-4C99-892C-888CC7550B3B}</author>
    <author>tc={ABE2747C-6F6C-4DC0-975A-E371D42D6AA6}</author>
    <author>tc={7EE0FE35-967C-4017-9E0E-BCF537D90450}</author>
    <author>tc={2ECCE326-A28B-4D55-A633-B57F35FA3AEB}</author>
    <author>tc={BDA959FB-7877-489A-B54F-8830847FB0D3}</author>
    <author>tc={6976B899-6410-4A8F-978A-9895B5A44C38}</author>
    <author>tc={BC375159-03E6-4F6B-8D9D-9182F78A7147}</author>
    <author>tc={B762E9CD-BA76-430B-BC49-558B1356294F}</author>
    <author>tc={51745829-8BDE-4F5D-879D-448C16C83200}</author>
    <author>tc={84950D90-E0B3-4709-A8D3-F6A6FDCF96CB}</author>
    <author>tc={66FAD66F-0F49-4463-9F62-AAF3ECF0EFDD}</author>
    <author>tc={4B96FBBC-AEF6-427F-A643-015E39E278D2}</author>
    <author>tc={35D19F6D-865C-4094-A54A-073A77D2DACB}</author>
    <author>tc={99378573-D9C0-4749-A254-AE89BABF490A}</author>
    <author>tc={606914D8-54A1-4FB1-AFA8-5BCF680614AC}</author>
    <author>tc={BC5AA2A1-7E2D-4972-958C-D2982077CDD5}</author>
    <author>tc={DE60A27F-AA80-4C2A-9630-14C70523018F}</author>
    <author>tc={D68D13EA-1D96-44E0-A12E-2F6D7D246A8B}</author>
    <author>tc={D4D90E8E-E18B-44D4-9D3E-FBB7481B66C4}</author>
    <author>tc={AD1D675D-C993-46DE-AA0C-2F0D3E112FA6}</author>
    <author>tc={235D3FB0-7F31-4404-9F5E-7DCDD128E0BC}</author>
    <author>tc={D4E9FAB2-E779-433F-90F6-E84BA34192B2}</author>
    <author>tc={FFAAF698-55FA-4FE0-A8D3-8EDE65812EC9}</author>
    <author>tc={E17FD593-1F19-4E5B-963C-39BE6F7042A3}</author>
    <author>tc={D5F0585E-FA08-4CED-B935-BCA9B01BE7C9}</author>
    <author>tc={ECC97A4C-6FFD-4C29-BAC4-E2A540C3E0EF}</author>
    <author>tc={7C77649E-0C01-4BB6-9562-1F1560CAF295}</author>
    <author>tc={F345E911-4A1A-43BA-842E-68FF5BD4903A}</author>
    <author>tc={C1A0CDB9-C0DC-4E6C-8022-0AD870EF3B80}</author>
    <author>tc={AB52D5FA-7B8D-45A5-8136-F1AB263C0729}</author>
    <author>tc={10EFA202-7CF8-4310-846A-75F0921F4CFD}</author>
    <author>tc={AEBFAA30-534E-4AE3-BC3C-25D4C4218ACC}</author>
    <author>tc={2961009F-C8CD-4B70-978F-40985F9D4020}</author>
    <author>tc={114820AB-B0A2-4F7E-9241-7C684B9C06F4}</author>
    <author>tc={432D8DA5-4399-46AC-9A72-EA024DAF09D4}</author>
    <author>tc={8834DCDB-A655-4398-8A25-695FFEF874DD}</author>
    <author>tc={AB5F157C-99AD-41FD-87A8-EEE1BD250421}</author>
    <author>tc={5DAA01B0-B54F-4952-B6A1-648BD11BF3B2}</author>
    <author>tc={C80EF89E-05BC-402B-A6AB-173016D7F843}</author>
    <author>tc={CB5D30E5-D5C0-4E17-9268-D91D29680D4A}</author>
    <author>tc={A8B4D7A3-3A52-4B38-AE2A-610C65AF2174}</author>
    <author>tc={EFD59CD0-4E55-4DC1-B278-11D6B6BDE26C}</author>
    <author>tc={35F4AE24-9377-4290-93D3-F883E72EC61B}</author>
    <author>tc={CF991535-8AF5-44AC-97B4-282A7176DED1}</author>
    <author>tc={03A0C551-E693-42B2-841A-25FC7B6D5E1B}</author>
    <author>tc={8C9236A6-A555-4E52-95AA-930FC302C1CB}</author>
    <author>tc={5B8CF7A2-4843-492F-9A75-AA9756E006B3}</author>
    <author>tc={3E5C2BE7-C684-43C9-A4BB-FAB86C763E43}</author>
    <author>tc={C57E0E4F-117B-44DC-AB6F-ECE4D2DEBB45}</author>
    <author>tc={F1CBB535-33EC-4254-A3A2-6FA4E7A83FBA}</author>
    <author>tc={A31B5F19-9E48-4653-AB01-26B9C2EED44F}</author>
    <author>tc={63405C3B-9845-4107-8D6A-538F1CD5F4EB}</author>
    <author>tc={79EA5EAD-CF59-45D6-9CB6-207414110BB1}</author>
    <author>tc={E01AF741-61F2-454E-9DB8-366D1309E849}</author>
    <author>tc={48037727-3C75-461C-9F59-ACF15C732402}</author>
    <author>tc={770DB171-42FB-41BC-B66C-73583662A2F4}</author>
    <author>tc={0B550789-E7C2-4B81-A8D3-2AD692313443}</author>
    <author>tc={02182B4A-2AAC-4169-9FFA-845D43BBE336}</author>
    <author>tc={161B20D3-36CA-42E2-BAE3-64D162C6495F}</author>
    <author>tc={A19909E3-9125-4E8D-A6A8-189E728640D3}</author>
    <author>tc={F4CA5785-7DE2-4179-969E-7B54DA81C5B3}</author>
    <author>tc={5C8018F5-CDA2-4B2A-B654-E305FA04CF8E}</author>
    <author>tc={F290A6DF-1BD0-4069-A53F-F7EE931A82E2}</author>
    <author>tc={353944FF-81F2-4CC0-BF96-0DA88E3BA1C8}</author>
    <author>tc={A1714D10-E2A4-428C-A2E2-8DFCD43E47F4}</author>
    <author>tc={1643075E-026A-4721-A113-B290EE385DF8}</author>
    <author>tc={F8F44A7C-9831-4466-92A4-296656F43298}</author>
    <author>tc={2685B045-875E-457A-948E-4144856BD9E7}</author>
    <author>tc={A7A4A6DF-331B-4FFD-856B-A749984C7399}</author>
    <author>tc={5E862FE5-F783-4FC0-B623-90A645DF3310}</author>
    <author>tc={ACCC042B-664E-486E-9D78-7AA2D5343FE4}</author>
    <author>tc={EB90E913-DE27-4A2C-AB5A-9DB651EF258C}</author>
    <author>tc={EBC4F3AD-F6A4-49B7-A058-2C2C32544EAE}</author>
    <author>tc={5F748545-8311-4640-BD86-7772B66AD2AB}</author>
    <author>tc={09CF151C-E3D6-455F-BE88-6A4C54EBDF2D}</author>
    <author>tc={998C8E52-B737-465A-8866-262E5B15D96C}</author>
    <author>tc={8125ACE1-C934-4971-A139-828FC1933A9F}</author>
    <author>tc={32B157B1-D002-43C5-B988-99DBF8AB52E0}</author>
    <author>tc={1580F7FD-C7D9-456C-9078-87303A8A8A5F}</author>
    <author>tc={2931DF00-FDF0-4DC4-B3D2-B904C6ABBFFF}</author>
    <author>tc={26D96AAA-D64E-4B37-88E0-4C55A02627C8}</author>
    <author>tc={6DF25CFC-16CE-4CE5-A957-95275106A8D1}</author>
    <author>tc={A7CE4F99-AF36-43EB-A6A0-4C4A5086FEF0}</author>
    <author>tc={0253CF61-1DBD-4427-97B7-4A3E7DA24FDD}</author>
    <author>tc={E3DFB9F4-48C8-4467-B8E4-EC126DDE0917}</author>
    <author>tc={ECA105AD-0EFB-4701-AFD5-5A0288174ADD}</author>
    <author>tc={F4DCA244-B467-49B3-BA32-826C8D119671}</author>
    <author>tc={A488EA08-A543-4DF0-805B-83C1B53A9492}</author>
    <author>tc={E7198871-4205-40DF-BA62-EE53E132BBAC}</author>
    <author>tc={CE797521-570D-4275-BEEC-A16FB80FD4A2}</author>
    <author>tc={567A2D75-D363-4555-950C-8953ED77F7BE}</author>
    <author>jairo angulo</author>
    <author>tc={442E1514-1D61-47DC-8941-539DA1C3DD2F}</author>
    <author>tc={A26E05FE-7DDE-4190-BD98-78CC8E32AAAA}</author>
    <author>tc={DE0B8B03-EC59-461A-9ED7-689DEE1EC6EA}</author>
    <author>tc={55A2331D-0BCD-41A0-8A91-E9AFE57858D6}</author>
    <author>tc={BF4332C4-1A7E-4360-AEDD-93A04ADF88CF}</author>
    <author>tc={2296ABFF-FDC0-41E2-894B-E6D677EA183F}</author>
    <author>tc={60922E57-0207-4713-AD1A-1406554B8AE5}</author>
    <author>tc={FF3AE1BA-7897-4C5D-A468-09E1AF7C98F5}</author>
    <author>tc={4B7B59F0-2A7C-4CE2-8719-0F4BF25E9DB7}</author>
    <author>tc={E20798CE-6ADE-449C-95B1-C09C51CCCF46}</author>
    <author>tc={BBF1699A-7BE8-41D7-A8DF-CAC736EC7585}</author>
    <author>tc={19849E8D-FDC5-4345-9AD5-CB0460275127}</author>
    <author>tc={C1AE7584-B50A-4FFE-88F5-31AA40E03354}</author>
    <author>tc={E1D8AA25-EAFE-4502-9163-57E1B6AF6026}</author>
    <author>tc={4CE4578D-CC66-434C-8933-B6D44BFBD29D}</author>
    <author>tc={7B9445CC-588A-4B20-8C8E-F75036FBB7C4}</author>
    <author>tc={43F7C929-2DAC-4185-AE8F-E88542D4BB61}</author>
    <author>tc={7E41ED12-4CCE-4CA6-ADDD-067CCD77FA4A}</author>
    <author>tc={A0AA6FAF-DA74-4FCB-87C0-99AEE3740467}</author>
    <author>tc={919063C6-8530-476B-ACCA-8EC8DE903E89}</author>
    <author>tc={65E96A9C-0B4F-419D-A4E1-C9FE353FB86A}</author>
    <author>tc={213836B3-EE54-4CBD-BF56-25D321C85411}</author>
    <author>tc={071F13BC-2DF7-44EF-8541-2A74F719E189}</author>
    <author>tc={F3AC0D47-2BB2-4F17-8937-C4B9CC1F01D0}</author>
    <author>tc={DCC3F7ED-FD04-4A08-9CFB-CF030FF44915}</author>
    <author>tc={5F8AEC32-F608-403A-BAED-14A9635442D1}</author>
    <author>tc={A2A0AFA2-CE10-4BFC-8FCC-F29FB854D3CA}</author>
    <author>tc={1790C4E1-AE19-4D50-9F8B-16FE8CAAD07B}</author>
    <author>tc={68F7CC62-7B85-4455-BBA4-D3B25F6060A7}</author>
    <author>tc={BAB2CA93-A57E-4960-B422-23E99B2046EF}</author>
    <author>tc={9D4988CE-999D-464B-A0B7-3D9F3F6BAA7A}</author>
    <author>tc={08CCAB63-9236-40EE-A394-AC37CE7328BD}</author>
    <author>tc={5FDAC83C-7396-4F5E-9001-E8A0D47C79A2}</author>
    <author>tc={4C2A1619-8B69-4299-8570-B8DE8495B5EF}</author>
    <author>tc={0D35BFE3-AECD-4DC8-978C-B3D36BBE0C0F}</author>
    <author>tc={C930FF5B-E7D1-493F-9113-D173E92F8BCE}</author>
    <author>tc={D2CE7E64-3FFA-4FCA-845B-4FE20E22984B}</author>
    <author>tc={D529CCEA-E2E0-4344-8CE1-C4C2222B1595}</author>
    <author>tc={D2241A40-6957-4624-8CCB-7E60ED59DA0F}</author>
    <author>tc={CB786A1D-AEFC-4901-B908-9074EE9B4A80}</author>
    <author>tc={349482EB-6803-4CEE-8B74-AE2B63FB7B41}</author>
    <author>tc={1908F378-250A-469F-BA3A-87E0DD59E611}</author>
    <author>tc={148474A9-296A-4713-9683-6338861C1E30}</author>
    <author>tc={C1DA9CF6-806C-47C9-A40E-B215FC960354}</author>
  </authors>
  <commentList>
    <comment ref="E5" authorId="0" shapeId="0" xr:uid="{5B89B7EB-DB63-459B-AD3C-45B79E8EE573}">
      <text>
        <t>[Comentario encadenado]
Su versión de Excel le permite leer este comentario encadenado; sin embargo, las ediciones que se apliquen se quitarán si el archivo se abre en una versión más reciente de Excel. Más información: https://go.microsoft.com/fwlink/?linkid=870924
Comentario:
    Todo el flujo se realiza en el dispositivo</t>
      </text>
    </comment>
    <comment ref="S5" authorId="1" shapeId="0" xr:uid="{AABBF094-5ADC-43AE-9425-82D7C8A85E8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configuración del dispositivo y los datos se guardan en una tarjeta SD utilizando un módulo de tarjeta SD </t>
      </text>
    </comment>
    <comment ref="X5" authorId="2" shapeId="0" xr:uid="{7449DC92-876A-404F-BDCC-58475FDF984A}">
      <text>
        <t>[Comentario encadenado]
Su versión de Excel le permite leer este comentario encadenado; sin embargo, las ediciones que se apliquen se quitarán si el archivo se abre en una versión más reciente de Excel. Más información: https://go.microsoft.com/fwlink/?linkid=870924
Comentario:
    Interfaz web</t>
      </text>
    </comment>
    <comment ref="I6" authorId="3" shapeId="0" xr:uid="{9553ABA5-5240-4F20-B38C-E9557A9999D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dispositivo se comunica con el servidor a través de Wi-Fi y un módulo ESP8266. </t>
      </text>
    </comment>
    <comment ref="K6" authorId="4" shapeId="0" xr:uid="{63C65421-F66C-4D8C-8781-7841CD7C854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comunicación entre dispositivos se realiza utilizando GSM SIM900A para enviar mensajes al paciente y otros módulos de comunicación integrados con los microcontroladores </t>
      </text>
    </comment>
    <comment ref="O6" authorId="5" shapeId="0" xr:uid="{1365E55E-7EA8-429E-8581-7B0A0170105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Comunicación remota a través de un chip Wi-Fi integrado en la placa inteligente Photon Particle .
</t>
      </text>
    </comment>
    <comment ref="S6" authorId="6" shapeId="0" xr:uid="{ED5750AD-BD4C-4CA5-9F5C-8A45B950879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realiza mediante el protocolo de interfaz de periféricos en serie (SPI) para la lectura y escritura de datos en la tarjeta SD </t>
      </text>
    </comment>
    <comment ref="U6" authorId="7" shapeId="0" xr:uid="{C45943B3-61A3-4322-9105-E4DF0DAED71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comunicación entre dispositivos se facilita mediante el uso de Google Assistant y una aplicación web. </t>
      </text>
    </comment>
    <comment ref="V6" authorId="8" shapeId="0" xr:uid="{29501BDA-A604-4C6B-AB82-789353FA7A2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ESP32 se comunica bidireccionalmente con el teléfono móvil a través del módulo Wi-Fi </t>
      </text>
    </comment>
    <comment ref="W6" authorId="9" shapeId="0" xr:uid="{128D7DC3-541B-4D76-AE07-5CF2718B743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comunicación se realiza a través del módulo Wi-Fi ESP8266 y la plataforma Blynk​ </t>
      </text>
    </comment>
    <comment ref="X6" authorId="10" shapeId="0" xr:uid="{C88E036B-4851-4B22-B813-3C5A543488FA}">
      <text>
        <t>[Comentario encadenado]
Su versión de Excel le permite leer este comentario encadenado; sin embargo, las ediciones que se apliquen se quitarán si el archivo se abre en una versión más reciente de Excel. Más información: https://go.microsoft.com/fwlink/?linkid=870924
Comentario:
    Se utiliza comunicación en serie y el microcontrolador ESP8266 permite la comunicación y el control remoto a través de Internet.</t>
      </text>
    </comment>
    <comment ref="AB6" authorId="11" shapeId="0" xr:uid="{8E1F0734-8CEA-4D87-A0F8-F2E8375E1CD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Los dispositivos se comunican a través de conexiones Bluetooth y Wi-Fi, permitiendo la interacción con la aplicación móvil y la plataforma en la nub </t>
      </text>
    </comment>
    <comment ref="Y7" authorId="12" shapeId="0" xr:uid="{D1D7AA1A-2FBB-4856-BB89-97C832535B8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dispensador reproduce un mensaje de voz cuando se libera la píldora para avisar al paciente </t>
      </text>
    </comment>
    <comment ref="V8" authorId="13" shapeId="0" xr:uid="{3D33F6A8-B063-436A-95FA-D8DD68CA1E3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LED cambia de color cada 30 minutos para recordar a los usuarios sobre la hora de tomar sus medicinas </t>
      </text>
    </comment>
    <comment ref="H9" authorId="14" shapeId="0" xr:uid="{42A41DD6-6134-495A-8346-E5274669378F}">
      <text>
        <t>[Comentario encadenado]
Su versión de Excel le permite leer este comentario encadenado; sin embargo, las ediciones que se apliquen se quitarán si el archivo se abre en una versión más reciente de Excel. Más información: https://go.microsoft.com/fwlink/?linkid=870924
Comentario:
    Mensajes SMS enviados después de la hora programada para recordar al usuario que está retrasado en tomar su medicación</t>
      </text>
    </comment>
    <comment ref="M9" authorId="15" shapeId="0" xr:uid="{92DD069A-38BC-49BB-AF8A-0837E0880D6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alerta sonará en tres intervalos de 10 minutos cada uno durante un período total de 30 minutos. 
La alerta se activa tres veces dentro de un intervalo de 30 minutos.
Cada una de estas tres alertas dura aproximadamente 1 minuto.
</t>
      </text>
    </comment>
    <comment ref="S9" authorId="16" shapeId="0" xr:uid="{6FB96442-A9BC-4C9E-8A61-D5C8F79B8B5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Si el usuario no toma el medicamento tras la primera alerta, se emite una segunda alerta 10 minutos después usando el módulo MP3. Si el medicamento no se toma después de esta segunda alerta, se notifica al cuidador o guardián mediante un mensaje . </t>
      </text>
    </comment>
    <comment ref="V9" authorId="17" shapeId="0" xr:uid="{3707C3A8-B2CF-453E-AED7-B952FB7BFD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Si no se toma acción en más de 90 minutos, se envía una alerta al usuario para recordar al paciente </t>
      </text>
    </comment>
    <comment ref="Y9" authorId="18" shapeId="0" xr:uid="{42161452-676A-4C99-892C-888CC7550B3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Si el paciente no toma la píldora en un tiempo determinado, el dispensador alerta al tutor con un correo electrónico </t>
      </text>
    </comment>
    <comment ref="R10" authorId="19" shapeId="0" xr:uid="{ABE2747C-6F6C-4DC0-975A-E371D42D6AA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Diez minutos antes de la toma programada, se envía una notificación al teléfono móvil del paciente para notificarle de su toma </t>
      </text>
    </comment>
    <comment ref="X10" authorId="20" shapeId="0" xr:uid="{7EE0FE35-967C-4017-9E0E-BCF537D90450}">
      <text>
        <t>[Comentario encadenado]
Su versión de Excel le permite leer este comentario encadenado; sin embargo, las ediciones que se apliquen se quitarán si el archivo se abre en una versión más reciente de Excel. Más información: https://go.microsoft.com/fwlink/?linkid=870924
Comentario:
    Las notificaciones se envían a través de plataformas como IFTTT para integrarse con Google Sheets y otras aplicaciones</t>
      </text>
    </comment>
    <comment ref="I11" authorId="21" shapeId="0" xr:uid="{2ECCE326-A28B-4D55-A633-B57F35FA3AE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ESP8266 </t>
      </text>
    </comment>
    <comment ref="V11" authorId="22" shapeId="0" xr:uid="{BDA959FB-7877-489A-B54F-8830847FB0D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Los datos se almacenan y procesan en Firebase, actuando como la base de datos intermedia. </t>
      </text>
    </comment>
    <comment ref="R12" authorId="23" shapeId="0" xr:uid="{6976B899-6410-4A8F-978A-9895B5A44C38}">
      <text>
        <t>[Comentario encadenado]
Su versión de Excel le permite leer este comentario encadenado; sin embargo, las ediciones que se apliquen se quitarán si el archivo se abre en una versión más reciente de Excel. Más información: https://go.microsoft.com/fwlink/?linkid=870924
Comentario:
    Una pantalla LCD 20x4 muestra mensajes preprogramados para el usuario</t>
      </text>
    </comment>
    <comment ref="W12" authorId="24" shapeId="0" xr:uid="{BC375159-03E6-4F6B-8D9D-9182F78A714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utiliza un módulo LCD de 16x2 para mostrar notificaciones, fecha y hora, interfiriendo con el sistema de alarma. </t>
      </text>
    </comment>
    <comment ref="M13" authorId="25" shapeId="0" xr:uid="{B762E9CD-BA76-430B-BC49-558B1356294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Los compartimentos de la caja de pastillas están rodeados de tiras LED que se iluminan cuando es hora de tomar el medicamento, proporcionando una alerta visual al usuario. </t>
      </text>
    </comment>
    <comment ref="V13" authorId="26" shapeId="0" xr:uid="{51745829-8BDE-4F5D-879D-448C16C83200}">
      <text>
        <t>[Comentario encadenado]
Su versión de Excel le permite leer este comentario encadenado; sin embargo, las ediciones que se apliquen se quitarán si el archivo se abre en una versión más reciente de Excel. Más información: https://go.microsoft.com/fwlink/?linkid=870924
Comentario:
    LED strip sk6812</t>
      </text>
    </comment>
    <comment ref="AE13" authorId="27" shapeId="0" xr:uid="{84950D90-E0B3-4709-A8D3-F6A6FDCF96C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sistema utiliza varios LEDs (rojo, azul, verde, amarillo) como alarmas visuales para indicar diferentes estados o recordatorios para la toma de pastillas </t>
      </text>
    </comment>
    <comment ref="D14" authorId="28" shapeId="0" xr:uid="{66FAD66F-0F49-4463-9F62-AAF3ECF0EFD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Utiliza una placa de relés y motores de corriente continua (DC) para dispensar medicación desde bandejas en momentos específicos </t>
      </text>
    </comment>
    <comment ref="H14" authorId="29" shapeId="0" xr:uid="{4B96FBBC-AEF6-427F-A643-015E39E278D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Utiliza un sistema de discos rotatorios y sensores infrarrojos para aislar y dispensar una sola pastilla a la vez, asegurando una dispensación precisa​ </t>
      </text>
    </comment>
    <comment ref="M14" authorId="30" shapeId="0" xr:uid="{35D19F6D-865C-4094-A54A-073A77D2DAC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Están diseñados para detectar la apertura o el cierre de cada compartimento del dispensador, basándose en la variación de la capacidad eléctrica que se produce cuando un objeto interactúa con el campo electrostático del sensor. Esta variación en la capacidad es detectada por un circuito oscilador integrado, que responde al cambio aumentando la amplitud de la oscilación, lo cual cambia el estado del sensor. Esto permite verificar de manera precisa si el medicamento ha sido tomado o no, garantizando así la correcta administración de las dosis. </t>
      </text>
    </comment>
    <comment ref="S14" authorId="31" shapeId="0" xr:uid="{99378573-D9C0-4749-A254-AE89BABF490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Dispensa la medicación utilizando un motor servo que controla la apertura exacta para la cantidad de medicación. 
utiliza un servomotor SG-90 para sujetar y liberar el medicamento del cartucho, asegurando una dispensación precisa </t>
      </text>
    </comment>
    <comment ref="V14" authorId="32" shapeId="0" xr:uid="{606914D8-54A1-4FB1-AFA8-5BCF680614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motor paso a paso está conectado a un controlador de motor y todos los componentes están alimentados por una fuente común desde el puerto de +5V en la placa ESP32. </t>
      </text>
    </comment>
    <comment ref="AB14" authorId="33" shapeId="0" xr:uid="{BC5AA2A1-7E2D-4972-958C-D2982077CDD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Motores Servo MG995 </t>
      </text>
    </comment>
    <comment ref="AC14" authorId="34" shapeId="0" xr:uid="{DE60A27F-AA80-4C2A-9630-14C70523018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dispensador utiliza un sensor ultrasónico para dispensar las pastillas de manera precisa al paciente </t>
      </text>
    </comment>
    <comment ref="D15" authorId="35" shapeId="0" xr:uid="{D68D13EA-1D96-44E0-A12E-2F6D7D246A8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doctor decidirá si el paciente debe continuar con la misma dosis de medicamento o con un nuevo conjunto. Una vez que el doctor decide, actualiza la tabla. Esta actualización se refleja en la base de datos en la nube, que luego se actualiza en la interfaz del paciente y la farmacia </t>
      </text>
    </comment>
    <comment ref="E15" authorId="36" shapeId="0" xr:uid="{D4D90E8E-E18B-44D4-9D3E-FBB7481B66C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administrador (admin) es el encargado de programar las dosis y los tiempos en el sistema </t>
      </text>
    </comment>
    <comment ref="F15" authorId="37" shapeId="0" xr:uid="{AD1D675D-C993-46DE-AA0C-2F0D3E112FA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pantalla LCD se coloca en el exterior del dispensador para que el usuario ajuste el tiempo de medicación </t>
      </text>
    </comment>
    <comment ref="G15" authorId="38" shapeId="0" xr:uid="{235D3FB0-7F31-4404-9F5E-7DCDD128E0B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paciente o el cuidador programa la dosis y el horario mediante un teclado en el dispositivo </t>
      </text>
    </comment>
    <comment ref="J15" authorId="39" shapeId="0" xr:uid="{D4E9FAB2-E779-433F-90F6-E84BA34192B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dispensador está programado para distribuir la cantidad exacta de medicamentos según el horario configurado en la aplicación web </t>
      </text>
    </comment>
    <comment ref="K15" authorId="40" shapeId="0" xr:uid="{FFAAF698-55FA-4FE0-A8D3-8EDE65812EC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sistema utiliza la computadora para programar y administrar las dosis basándose en los datos del paciente obtenidos a través de los sensores. La computadora diagnostica al paciente y determina la dosis adecuada </t>
      </text>
    </comment>
    <comment ref="M15" authorId="41" shapeId="0" xr:uid="{E17FD593-1F19-4E5B-963C-39BE6F7042A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programación de la hora y la frecuencia de la medicación se realiza a través de la interfaz de usuario en la aplicació </t>
      </text>
    </comment>
    <comment ref="N15" authorId="42" shapeId="0" xr:uid="{D5F0585E-FA08-4CED-B935-BCA9B01BE7C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Incluye un método preciso de calibración (en miligramos) para controlar situaciones de sobredosis y subdosis utilizando una celda de carga. </t>
      </text>
    </comment>
    <comment ref="O15" authorId="43" shapeId="0" xr:uid="{ECC97A4C-6FFD-4C29-BAC4-E2A540C3E0E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programación de dosis es manejada por el controlador de medicación inteligente basado en análisis de expertos y algoritmos de lógica difusa . </t>
      </text>
    </comment>
    <comment ref="P15" authorId="44" shapeId="0" xr:uid="{7C77649E-0C01-4BB6-9562-1F1560CAF29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programación de las dosis y horarios se realiza mediante la aplicación móvil, permitiendo la reprogramación y gestión de las dosis </t>
      </text>
    </comment>
    <comment ref="Q15" authorId="45" shapeId="0" xr:uid="{F345E911-4A1A-43BA-842E-68FF5BD4903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programación de dosis puede ser configurada por enfermeras o usuarios a través de la interfaz de usuario de la aplicación </t>
      </text>
    </comment>
    <comment ref="R15" authorId="46" shapeId="0" xr:uid="{C1A0CDB9-C0DC-4E6C-8022-0AD870EF3B80}">
      <text>
        <t>[Comentario encadenado]
Su versión de Excel le permite leer este comentario encadenado; sin embargo, las ediciones que se apliquen se quitarán si el archivo se abre en una versión más reciente de Excel. Más información: https://go.microsoft.com/fwlink/?linkid=870924
Comentario:
    El farmacéutico es responsable de programar y llenar el dispensador de pastillas utilizando la aplicación móvil 
El dispensador de pastillas cuenta con un mecanismo de bloqueo para asegurar el control de la dosis de medicación y prevenir el abuso</t>
      </text>
    </comment>
    <comment ref="S15" authorId="47" shapeId="0" xr:uid="{AB52D5FA-7B8D-45A5-8136-F1AB263C072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Los médicos o los usuarios pueden pre-cargar las dosis de medicamentos en el dispositivo y programar los tiempos de dosis usando un codificador rotativo, que actúa como un botón de pulsación para seleccionar opciones y establecer el tiempo fácilmente 
La máquina puede manejar múltiples dosis y tipos de medicamentos, controladas por la aplicación y el sistema de archivos CSV </t>
      </text>
    </comment>
    <comment ref="T15" authorId="48" shapeId="0" xr:uid="{10EFA202-7CF8-4310-846A-75F0921F4CF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sistema rastrea si los usuarios han tomado sus medicamentos y envía esta información al servidor en la nube, mostrando "sí" o "no" en la aplicación móvi </t>
      </text>
    </comment>
    <comment ref="U15" authorId="49" shapeId="0" xr:uid="{AEBFAA30-534E-4AE3-BC3C-25D4C4218AC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cantidad de jarabe a dispensar se puede modificar en el programa según las necesidades específicas </t>
      </text>
    </comment>
    <comment ref="V15" authorId="50" shapeId="0" xr:uid="{2961009F-C8CD-4B70-978F-40985F9D402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usuario programa las dosis y los horarios a través de la aplicación móvil 
La aplicación móvil permite a los usuarios gestionar y crear el horario de las pastillas. Una vez que la hora actual coincide con la hora preestablecida, el dispensador alerta a los usuarios mediante una tira de LED y un zumbador </t>
      </text>
    </comment>
    <comment ref="W15" authorId="51" shapeId="0" xr:uid="{114820AB-B0A2-4F7E-9241-7C684B9C06F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programación de la dosis se realiza a través de la aplicación Blynk utilizando el módulo de reloj en tiempo real (RTC) </t>
      </text>
    </comment>
    <comment ref="X15" authorId="52" shapeId="0" xr:uid="{432D8DA5-4399-46AC-9A72-EA024DAF09D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programación y monitoreo de las dosis se realizan a través de una plataforma web que facilita el acceso y la gestión remota </t>
      </text>
    </comment>
    <comment ref="Y15" authorId="53" shapeId="0" xr:uid="{8834DCDB-A655-4398-8A25-695FFEF874D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cuidador puede configurar la programación de la terapia de medicamentos mediante la aplicación móvi </t>
      </text>
    </comment>
    <comment ref="Z15" authorId="54" shapeId="0" xr:uid="{AB5F157C-99AD-41FD-87A8-EEE1BD250421}">
      <text>
        <t>[Comentario encadenado]
Su versión de Excel le permite leer este comentario encadenado; sin embargo, las ediciones que se apliquen se quitarán si el archivo se abre en una versión más reciente de Excel. Más información: https://go.microsoft.com/fwlink/?linkid=870924
Comentario:
    La programación se puede hacer tanto desde la aplicación móvil como desde las teclas del dispositivo 
El sistema está diseñado para dispensar automáticamente las píldoras en la dosis correcta a intervalos específicos.</t>
      </text>
    </comment>
    <comment ref="AA15" authorId="55" shapeId="0" xr:uid="{5DAA01B0-B54F-4952-B6A1-648BD11BF3B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programación de dosis se maneja a través del sistema automático que el usuario configura inicialment </t>
      </text>
    </comment>
    <comment ref="AB15" authorId="56" shapeId="0" xr:uid="{C80EF89E-05BC-402B-A6AB-173016D7F84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programación de dosis es manejada automáticamente por el sistema basado en la receta escaneada </t>
      </text>
    </comment>
    <comment ref="AC15" authorId="57" shapeId="0" xr:uid="{CB5D30E5-D5C0-4E17-9268-D91D29680D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usuario programa los detalles de su prescripción en el microcontrolador, especificando el número de pastillas y los horarios para las alertas de medicación 
El dispositivo asegura un control preciso de la dosis programando el número de píldoras y el momento para dispensarlas, previniendo la sobredosis o la subdosificación </t>
      </text>
    </comment>
    <comment ref="AD15" authorId="58" shapeId="0" xr:uid="{A8B4D7A3-3A52-4B38-AE2A-610C65AF217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programación de dosis se gestiona a través de la aplicación web y se actualiza en el dispensador mediante el Raspberry Pi </t>
      </text>
    </comment>
    <comment ref="AE15" authorId="59" shapeId="0" xr:uid="{EFD59CD0-4E55-4DC1-B278-11D6B6BDE26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Los usuarios pueden programar la dispensación de las píldoras a través de la aplicación </t>
      </text>
    </comment>
    <comment ref="AF15" authorId="60" shapeId="0" xr:uid="{35F4AE24-9377-4290-93D3-F883E72EC61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cuidador es responsable de programar las dosis mediante la aplicación Android </t>
      </text>
    </comment>
    <comment ref="C16" authorId="61" shapeId="0" xr:uid="{CF991535-8AF5-44AC-97B4-282A7176DED1}">
      <text>
        <t>[Comentario encadenado]
Su versión de Excel le permite leer este comentario encadenado; sin embargo, las ediciones que se apliquen se quitarán si el archivo se abre en una versión más reciente de Excel. Más información: https://go.microsoft.com/fwlink/?linkid=870924
Comentario:
    Hora, autenticacion, auterizacion del responsable</t>
      </text>
    </comment>
    <comment ref="D16" authorId="62" shapeId="0" xr:uid="{03A0C551-E693-42B2-841A-25FC7B6D5E1B}">
      <text>
        <t>[Comentario encadenado]
Su versión de Excel le permite leer este comentario encadenado; sin embargo, las ediciones que se apliquen se quitarán si el archivo se abre en una versión más reciente de Excel. Más información: https://go.microsoft.com/fwlink/?linkid=870924
Comentario:
    La entrega de las dosis de medicación se controla mediante una tabla en la base de datos en la nube. Las dosis se registran y actualizan cada vez que se toma una tableta. 
El Raspberry Pi envía una notificación de alarma al paciente cuando es el momento de tomar la medicación.</t>
      </text>
    </comment>
    <comment ref="E16" authorId="63" shapeId="0" xr:uid="{8C9236A6-A555-4E52-95AA-930FC302C1C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Los medicamentos se dispensan automáticamente cuando el usuario autenticado desbloquea el sistema con su huella digital.
El sistema incluye sensores infrarrojos para detectar el movimiento y confirmar la entrega de la medicación </t>
      </text>
    </comment>
    <comment ref="F16" authorId="64" shapeId="0" xr:uid="{5B8CF7A2-4843-492F-9A75-AA9756E006B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Las dosis se entregan mediante la activación de un motor servo que libera las pastillas en un compartimento al detectar la mano del usuario mediante un sensor infrarrojo </t>
      </text>
    </comment>
    <comment ref="H16" authorId="65" shapeId="0" xr:uid="{3E5C2BE7-C684-43C9-A4BB-FAB86C763E4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dispositivo dispensa las pastillas de acuerdo con la programación establecida y no permite que se dispense una nueva dosis si la anterior no ha sido tomada </t>
      </text>
    </comment>
    <comment ref="I16" authorId="66" shapeId="0" xr:uid="{C57E0E4F-117B-44DC-AB6F-ECE4D2DEBB45}">
      <text>
        <t>[Comentario encadenado]
Su versión de Excel le permite leer este comentario encadenado; sin embargo, las ediciones que se apliquen se quitarán si el archivo se abre en una versión más reciente de Excel. Más información: https://go.microsoft.com/fwlink/?linkid=870924
Comentario:
    El paciente abre el compartimento para tomar la medicina, un sensor IR detecta esta acción y envía un mensaje de la medicina tomada</t>
      </text>
    </comment>
    <comment ref="J16" authorId="67" shapeId="0" xr:uid="{F1CBB535-33EC-4254-A3A2-6FA4E7A83F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paciente debe presionar un botón accesible en el dispensador para recibir la medicación. Este botón activa el mecanismo de dispensación de las pastillas programadas. </t>
      </text>
    </comment>
    <comment ref="K16" authorId="68" shapeId="0" xr:uid="{A31B5F19-9E48-4653-AB01-26B9C2EED44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entrega de la dosis se realiza a través del dispensador, que abre el compartimento adecuado y notifica al pacient </t>
      </text>
    </comment>
    <comment ref="O16" authorId="69" shapeId="0" xr:uid="{63405C3B-9845-4107-8D6A-538F1CD5F4E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dispensador remoto administra la medicación según el análisis de datos de sensores de temperatura corporal </t>
      </text>
    </comment>
    <comment ref="P16" authorId="70" shapeId="0" xr:uid="{79EA5EAD-CF59-45D6-9CB6-207414110BB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dispositivo dispensa la pastilla en una bandeja una vez que el usuario presiona un botón para confirmar que está tomando la medicación​ </t>
      </text>
    </comment>
    <comment ref="Q16" authorId="71" shapeId="0" xr:uid="{E01AF741-61F2-454E-9DB8-366D1309E8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mecanismo de dispensación automática está diseñado para liberar la dosis exacta de medicación en el momento correcto. Utiliza compartimentos controlados electrónicamente que se abren en el momento programado, liberando la medicación para que el usuario la tom </t>
      </text>
    </comment>
    <comment ref="R16" authorId="72" shapeId="0" xr:uid="{48037727-3C75-461C-9F59-ACF15C73240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paciente debe confirmar su presencia utilizando un botón táctil implementado en la parte superior del dispensador de pastillas </t>
      </text>
    </comment>
    <comment ref="S16" authorId="73" shapeId="0" xr:uid="{770DB171-42FB-41BC-B66C-73583662A2F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máquina dispensa el medicamento directamente en la mano del usuario una vez que se confirma la presencia de la mano mediante un sensor IR </t>
      </text>
    </comment>
    <comment ref="T16" authorId="74" shapeId="0" xr:uid="{0B550789-E7C2-4B81-A8D3-2AD69231344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usuario debe abrir el cajón correspondiente del dispensador para tomar el medicamento. El sistema utiliza sensores IR para detectar si el cajón ha sido abierto. Si el cajón se abre dentro de los cinco minutos posteriores a la alarma, el sistema envía un mensaje "yes" a la nube indicando que el medicamento ha sido tomado. Si no se abre, envía un mensaje "no". </t>
      </text>
    </comment>
    <comment ref="U16" authorId="75" shapeId="0" xr:uid="{02182B4A-2AAC-4169-9FFA-845D43BBE33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sistema de dispensación de jarabe utiliza una bomba conectada a un relé y controlada por NodeMCU. La bomba se activa al detectar una taza en la plataforma basada en sensores, dispensando la cantidad necesaria de jarabe </t>
      </text>
    </comment>
    <comment ref="V16" authorId="76" shapeId="0" xr:uid="{161B20D3-36CA-42E2-BAE3-64D162C6495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paciente (o usuario) reconoce la alerta presionando un botón en el dispositivo dispensador. Esta acción es necesaria para confirmar que el usuario ha recibido la notificación </t>
      </text>
    </comment>
    <comment ref="W16" authorId="77" shapeId="0" xr:uid="{A19909E3-9125-4E8D-A6A8-189E728640D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entrega de la dosis se efectúa cuando el usuario coloca su dedo en el escáner biométrico para activar el motor que dispensa las píldoras. </t>
      </text>
    </comment>
    <comment ref="X16" authorId="78" shapeId="0" xr:uid="{F4CA5785-7DE2-4179-969E-7B54DA81C5B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Entrega dosis de manera automatizada y almacena la información de administración en una base de datos en la nube </t>
      </text>
    </comment>
    <comment ref="Y16" authorId="79" shapeId="0" xr:uid="{5C8018F5-CDA2-4B2A-B654-E305FA04CF8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píldora se libera a través de una tapa controlada por un servomotor cuando es el momento adecuado </t>
      </text>
    </comment>
    <comment ref="Z16" authorId="80" shapeId="0" xr:uid="{F290A6DF-1BD0-4069-A53F-F7EE931A82E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sistema dispensa automáticamente las píldoras en la dosis correcta y en los intervalos establecidos por el usuario​ </t>
      </text>
    </comment>
    <comment ref="AA16" authorId="81" shapeId="0" xr:uid="{353944FF-81F2-4CC0-BF96-0DA88E3BA1C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entrega de dosis se realiza automáticamente a través del Dispenser System (DS) </t>
      </text>
    </comment>
    <comment ref="AB16" authorId="82" shapeId="0" xr:uid="{A1714D10-E2A4-428C-A2E2-8DFCD43E47F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sistema dispensa las medicinas en base a la programación establecida, actualizando el tiempo de consumo en la base de dato </t>
      </text>
    </comment>
    <comment ref="AC16" authorId="83" shapeId="0" xr:uid="{1643075E-026A-4721-A113-B290EE385DF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dispensador se activa en intervalos regulares y dispensa las medicinas dependiendo de la presencia del usuario </t>
      </text>
    </comment>
    <comment ref="AD16" authorId="84" shapeId="0" xr:uid="{F8F44A7C-9831-4466-92A4-296656F432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medicina se dispensa solo cuando el paciente está a una distancia de 40-60 cm del dispensador </t>
      </text>
    </comment>
    <comment ref="AE16" authorId="85" shapeId="0" xr:uid="{2685B045-875E-457A-948E-4144856BD9E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Libera la dosis correcta de medicamento en el momento adecuado, basado en las configuraciones hechas por el usuario a través de la aplicación </t>
      </text>
    </comment>
    <comment ref="AF16" authorId="86" shapeId="0" xr:uid="{A7A4A6DF-331B-4FFD-856B-A749984C739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dispensación de la medicación se realiza automáticamente mediante un motor servo que rota el cono y libera la pastill </t>
      </text>
    </comment>
    <comment ref="D17" authorId="87" shapeId="0" xr:uid="{5E862FE5-F783-4FC0-B623-90A645DF331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Los datos de salud del paciente, recolectados por biosensores, se envían a la nube para el monitoreo remoto por parte del doctor </t>
      </text>
    </comment>
    <comment ref="H17" authorId="88" shapeId="0" xr:uid="{ACCC042B-664E-486E-9D78-7AA2D5343FE4}">
      <text>
        <t>[Comentario encadenado]
Su versión de Excel le permite leer este comentario encadenado; sin embargo, las ediciones que se apliquen se quitarán si el archivo se abre en una versión más reciente de Excel. Más información: https://go.microsoft.com/fwlink/?linkid=870924
Comentario:
    Los usuarios pueden acceder a estos datos desde una interfaz web alojada en el ESP32, a través de un navegador en un dispositivo conectado a la misma red Wi-Fi local.  Tiempo de dosificacion</t>
      </text>
    </comment>
    <comment ref="I17" authorId="89" shapeId="0" xr:uid="{EB90E913-DE27-4A2C-AB5A-9DB651EF25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Los datos se envían al servidor, permitiendo al cuidador verificar si el paciente ha tomado la medicación. </t>
      </text>
    </comment>
    <comment ref="J17" authorId="90" shapeId="0" xr:uid="{EBC4F3AD-F6A4-49B7-A058-2C2C32544EA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sistema permite monitorear a distancia los niveles de oxígeno y la temperatura </t>
      </text>
    </comment>
    <comment ref="M17" authorId="91" shapeId="0" xr:uid="{5F748545-8311-4640-BD86-7772B66AD2A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sistema permite el monitoreo remoto mediante el registro de la adherencia médica en una base de datos y el envío de alertas por correo electrónico. </t>
      </text>
    </comment>
    <comment ref="P17" authorId="92" shapeId="0" xr:uid="{09CF151C-E3D6-455F-BE88-6A4C54EBDF2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dispositivo permite el monitoreo remoto a través de la aplicación móvil, enviando notificaciones sobre la toma de medicamentos </t>
      </text>
    </comment>
    <comment ref="Q17" authorId="93" shapeId="0" xr:uid="{998C8E52-B737-465A-8866-262E5B15D96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Incluye un sistema IoT que permite a los clínicos monitorear remotamente los parámetros del paciente, como el tiempo de ingesta de medicamentos y detalles de ubicación. </t>
      </text>
    </comment>
    <comment ref="R17" authorId="94" shapeId="0" xr:uid="{8125ACE1-C934-4971-A139-828FC1933A9F}">
      <text>
        <t>[Comentario encadenado]
Su versión de Excel le permite leer este comentario encadenado; sin embargo, las ediciones que se apliquen se quitarán si el archivo se abre en una versión más reciente de Excel. Más información: https://go.microsoft.com/fwlink/?linkid=870924
Comentario:
    El sistema propuesto permite no solo que las personas mayores tengan una vida independiente y segura, sino también reducir la carga de los cuidadores, familiares y médicos, ya que les permite supervisar y monitorear las tomas de los ancianos de forma remota</t>
      </text>
    </comment>
    <comment ref="S17" authorId="95" shapeId="0" xr:uid="{32B157B1-D002-43C5-B988-99DBF8AB52E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Los datos sobre la toma de medicamentos se almacenan en una tarjeta SD y se pueden enviar a la nube para que los médicos puedan acceder a ellos remotamente . </t>
      </text>
    </comment>
    <comment ref="T17" authorId="96" shapeId="0" xr:uid="{1580F7FD-C7D9-456C-9078-87303A8A8A5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sistema utiliza un módulo Wi-Fi para conectar el dispensador a un servidor en la nube, permitiendo el monitoreo remoto a través de la aplicación móvil </t>
      </text>
    </comment>
    <comment ref="Y17" authorId="97" shapeId="0" xr:uid="{2931DF00-FDF0-4DC4-B3D2-B904C6ABBFF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sistema permite a los cuidadores gestionar y monitorear remotamente el dispensador de píldoras a través de la aplicación móvil </t>
      </text>
    </comment>
    <comment ref="Z17" authorId="98" shapeId="0" xr:uid="{26D96AAA-D64E-4B37-88E0-4C55A02627C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aplicación móvil permite el monitoreo y control remoto del sistema </t>
      </text>
    </comment>
    <comment ref="AB17" authorId="99" shapeId="0" xr:uid="{6DF25CFC-16CE-4CE5-A957-95275106A8D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Permite a los cuidadores monitorear y gestionar remotamente el dispensador de medicamentos a través de la aplicación móvil y la conexión Wi-Fi </t>
      </text>
    </comment>
    <comment ref="AC17" authorId="100" shapeId="0" xr:uid="{A7CE4F99-AF36-43EB-A6A0-4C4A5086FEF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Los sensores de salud integrados proporcionan un medio de chequeo rutinario de salud desde el hogar, sin necesidad de visitar al médico </t>
      </text>
    </comment>
    <comment ref="AD17" authorId="101" shapeId="0" xr:uid="{0253CF61-1DBD-4427-97B7-4A3E7DA24FD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puede monitorear remotamente la administración de medicamentos y ajustar las dosis según sea necesario </t>
      </text>
    </comment>
    <comment ref="N18" authorId="102" shapeId="0" xr:uid="{E3DFB9F4-48C8-4467-B8E4-EC126DDE091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experimento realmente se llevó a cabo en el hogar de los pacientes durante un período de tres meses, obteniendo resultados exitosos. </t>
      </text>
    </comment>
    <comment ref="O18" authorId="103" shapeId="0" xr:uid="{ECA105AD-0EFB-4701-AFD5-5A0288174AD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realizó una evaluación comparativa entre la toma de decisiones de expertos humanos y el Controlador Inteligente de Medicación para antitérmicos como ibuprofeno y paracetamol. Participaron 10 expertos médicos en un estudio de caso con dos encuestas </t>
      </text>
    </comment>
    <comment ref="R18" authorId="104" shapeId="0" xr:uid="{F4DCA244-B467-49B3-BA32-826C8D11967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sistema propuesto se probó con la ayuda de siete individuos, tres personas mayores de entre 64 y 67 años </t>
      </text>
    </comment>
    <comment ref="T18" authorId="105" shapeId="0" xr:uid="{A488EA08-A543-4DF0-805B-83C1B53A949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dispositivo fue evaluado por diez participantes que lo tuvieron instalado en sus hogares durante un día </t>
      </text>
    </comment>
    <comment ref="Y18" authorId="106" shapeId="0" xr:uid="{E7198871-4205-40DF-BA62-EE53E132BB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realiza una validación funcional del sistema simulando un escenario con una persona mayor y su cuidador. </t>
      </text>
    </comment>
    <comment ref="AA18" authorId="107" shapeId="0" xr:uid="{CE797521-570D-4275-BEEC-A16FB80FD4A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realizaron pruebas con usuarios de diferentes niveles de habilidad tecnológica para evaluar la usabilidad del sistema </t>
      </text>
    </comment>
    <comment ref="AD18" authorId="108" shapeId="0" xr:uid="{567A2D75-D363-4555-950C-8953ED77F7B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realizaron pruebas experimentales con un paciente con hipertensión y diabetes para validar la efectividad del dispensador y la red de salud </t>
      </text>
    </comment>
    <comment ref="H19" authorId="109" shapeId="0" xr:uid="{4E12FCA1-43D1-46D3-9E46-2FCFFA03F500}">
      <text>
        <r>
          <rPr>
            <b/>
            <sz val="9"/>
            <color indexed="81"/>
            <rFont val="Tahoma"/>
            <family val="2"/>
          </rPr>
          <t>jairo angulo:</t>
        </r>
        <r>
          <rPr>
            <sz val="9"/>
            <color indexed="81"/>
            <rFont val="Tahoma"/>
            <family val="2"/>
          </rPr>
          <t xml:space="preserve">
diseñado para dispensar pastillas de diferentes tamaños y formas</t>
        </r>
      </text>
    </comment>
    <comment ref="S19" authorId="110" shapeId="0" xr:uid="{442E1514-1D61-47DC-8941-539DA1C3DD2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pastillas y jarabes </t>
      </text>
    </comment>
    <comment ref="U19" authorId="111" shapeId="0" xr:uid="{A26E05FE-7DDE-4190-BD98-78CC8E32AA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dispensador está diseñado para dispensar pastillas (paracetamol, vitamina C, zinc) y jarabes (para pacientes que necesitan jarabes para la tos) </t>
      </text>
    </comment>
    <comment ref="AA19" authorId="112" shapeId="0" xr:uid="{DE0B8B03-EC59-461A-9ED7-689DEE1EC6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Diseñado para píldoras de hasta 1.3 cm de diámetro </t>
      </text>
    </comment>
    <comment ref="AF19" authorId="113" shapeId="0" xr:uid="{55A2331D-0BCD-41A0-8A91-E9AFE57858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dispositivo soporta una variedad de tamaños y formas de píldoras aprobadas por la FDA, que varían de 0.48 cm a 2.29 cm de diámetro </t>
      </text>
    </comment>
    <comment ref="P20" authorId="114" shapeId="0" xr:uid="{BF4332C4-1A7E-4360-AEDD-93A04ADF88C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caja de pastillas consiste en un total de 9 piezas de plástico impresas en 3D que conforman tanto el cuerpo exterior como los mecanismos internos de la caja de pastillas </t>
      </text>
    </comment>
    <comment ref="R20" authorId="115" shapeId="0" xr:uid="{2296ABFF-FDC0-41E2-894B-E6D677EA183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describe como un componente de plástico redondo con múltiples compartimentos </t>
      </text>
    </comment>
    <comment ref="AF20" authorId="116" shapeId="0" xr:uid="{60922E57-0207-4713-AD1A-1406554B8AE5}">
      <text>
        <t>[Comentario encadenado]
Su versión de Excel le permite leer este comentario encadenado; sin embargo, las ediciones que se apliquen se quitarán si el archivo se abre en una versión más reciente de Excel. Más información: https://go.microsoft.com/fwlink/?linkid=870924
Comentario:
Los recipientes de píldoras están hechos de láminas plásticas y madera, junto con otros componentes electrónicos y mecánicos .</t>
      </text>
    </comment>
    <comment ref="J21" authorId="117" shapeId="0" xr:uid="{FF3AE1BA-7897-4C5D-A468-09E1AF7C98F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sistema utiliza la computadora para programar y administrar las dosis basándose en los datos del paciente obtenidos a través de los sensores. La computadora diagnostica al paciente y determina la dosis adecuada </t>
      </text>
    </comment>
    <comment ref="M21" authorId="118" shapeId="0" xr:uid="{4B7B59F0-2A7C-4CE2-8719-0F4BF25E9DB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caja de pastillas es cilíndrica con un radio de base de 6 cm y una altura de 16.5 cm. </t>
      </text>
    </comment>
    <comment ref="S21" authorId="119" shapeId="0" xr:uid="{E20798CE-6ADE-449C-95B1-C09C51CCCF4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Las cajas de pastillas pueden ser de forma cuadrada o circular </t>
      </text>
    </comment>
    <comment ref="T21" authorId="120" shapeId="0" xr:uid="{BBF1699A-7BE8-41D7-A8DF-CAC736EC758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Organizados en tres compartimentos separados que dividen el día en partes de mañana, mediodía y noche. Cada compartimento puede contener un tipo diferente de medicamento y está equipado con una luz LED que indica cuál debe ser tomado en un momento dado. </t>
      </text>
    </comment>
    <comment ref="U21" authorId="121" shapeId="0" xr:uid="{19849E8D-FDC5-4345-9AD5-CB046027512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dispensador de pastillas tiene una forma circular con varios compartimentos. </t>
      </text>
    </comment>
    <comment ref="V21" authorId="122" shapeId="0" xr:uid="{C1AE7584-B50A-4FFE-88F5-31AA40E0335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dispensador tiene un diseño isométrico y externo que acomoda todos los componentes necesarios, diseñado con Autodesk Fusion360 y Sketchup </t>
      </text>
    </comment>
    <comment ref="Z21" authorId="123" shapeId="0" xr:uid="{E1D8AA25-EAFE-4502-9163-57E1B6AF602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Los recipientes están diseñados para contener grupos de ocho píldoras </t>
      </text>
    </comment>
    <comment ref="E22" authorId="124" shapeId="0" xr:uid="{4CE4578D-CC66-434C-8933-B6D44BFBD2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administrador puede agregar, actualizar o eliminar usuarios </t>
      </text>
    </comment>
    <comment ref="N23" authorId="125" shapeId="0" xr:uid="{7B9445CC-588A-4B20-8C8E-F75036FBB7C4}">
      <text>
        <t>[Comentario encadenado]
Su versión de Excel le permite leer este comentario encadenado; sin embargo, las ediciones que se apliquen se quitarán si el archivo se abre en una versión más reciente de Excel. Más información: https://go.microsoft.com/fwlink/?linkid=870924
Comentario:
    El acceso al kit de medicamentos requiere autenticación mediante huella digital utilizando una red neuronal profunda VGG-16 con mejora de imagen 
Además se presenta una comparación de rendimiento de sistemas de reconocimiento de huellas dactilares, destacando una precisión del 98.27% en el primer experimento y del 98.85% en el segundo experimento</t>
      </text>
    </comment>
    <comment ref="AC23" authorId="126" shapeId="0" xr:uid="{43F7C929-2DAC-4185-AE8F-E88542D4BB6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Utiliza RFID para verificar la validez del usuario antes de dispensar las pastillas </t>
      </text>
    </comment>
    <comment ref="D24" authorId="127" shapeId="0" xr:uid="{7E41ED12-4CCE-4CA6-ADDD-067CCD77FA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Al momento de su primer inicio de sesión, se les pedirá que se registren con su ID de correo electrónico y la autorización adicional será asegurada por el hospital registrado </t>
      </text>
    </comment>
    <comment ref="I24" authorId="128" shapeId="0" xr:uid="{A0AA6FAF-DA74-4FCB-87C0-99AEE374046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Los cuidadores inician sesión con ID y contraseña para programar las medicinas </t>
      </text>
    </comment>
    <comment ref="K24" authorId="129" shapeId="0" xr:uid="{919063C6-8530-476B-ACCA-8EC8DE903E8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menciona el uso de Adhaar ID (prueba de identidad) y la generación de OTP (One Time Password) para asegurar que no haya mal uso del dispositivo y mantener los datos seguros para futuros usos </t>
      </text>
    </comment>
    <comment ref="Q24" authorId="130" shapeId="0" xr:uid="{65E96A9C-0B4F-419D-A4E1-C9FE353FB86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Autenticación de usuario mediante nombre de usuario y contraseña en la aplicación móvil </t>
      </text>
    </comment>
    <comment ref="R24" authorId="131" shapeId="0" xr:uid="{213836B3-EE54-4CBD-BF56-25D321C85411}">
      <text>
        <t>[Comentario encadenado]
Su versión de Excel le permite leer este comentario encadenado; sin embargo, las ediciones que se apliquen se quitarán si el archivo se abre en una versión más reciente de Excel. Más información: https://go.microsoft.com/fwlink/?linkid=870924
Comentario:
    Usuario y contraseña</t>
      </text>
    </comment>
    <comment ref="X24" authorId="132" shapeId="0" xr:uid="{071F13BC-2DF7-44EF-8541-2A74F719E18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menciona el uso de una dirección de correo electrónico y una contraseña como método de autenticación para la seguridad en Google Sheets. </t>
      </text>
    </comment>
    <comment ref="AD24" authorId="133" shapeId="0" xr:uid="{F3AC0D47-2BB2-4F17-8937-C4B9CC1F01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Los pacientes pueden iniciar sesión en la aplicación web para acceder a sus datos y funcionalidades </t>
      </text>
    </comment>
    <comment ref="D25" authorId="134" shapeId="0" xr:uid="{DCC3F7ED-FD04-4A08-9CFB-CF030FF4491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En este sistema, el paciente puede enviar el estado de su condición de salud con la ayuda de biosensores como el electrocardiograma (ECG), la presión arterial (BP), la temperatura corporal a través de una red de comunicación inalámbrica </t>
      </text>
    </comment>
    <comment ref="AA26" authorId="135" shapeId="0" xr:uid="{5F8AEC32-F608-403A-BAED-14A9635442D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Uso de pantallas LCD para mostrar la hora actual y los tiempos programados para la toma de medicamento </t>
      </text>
    </comment>
    <comment ref="K27" authorId="136" shapeId="0" xr:uid="{A2A0AFA2-CE10-4BFC-8FCC-F29FB854D3C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utilizan medidas de seguridad como OTP para proteger el acceso al sistema. </t>
      </text>
    </comment>
    <comment ref="M27" authorId="137" shapeId="0" xr:uid="{1790C4E1-AE19-4D50-9F8B-16FE8CAAD07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Los datos se transmiten de manera segura utilizando el protocolo MQTT y se almacenan en una base de datos MySQL </t>
      </text>
    </comment>
    <comment ref="X27" authorId="138" shapeId="0" xr:uid="{68F7CC62-7B85-4455-BBA4-D3B25F6060A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seguridad de los datos se asegura a través del protocolo HTTPS y el acceso autenticado </t>
      </text>
    </comment>
    <comment ref="Y27" authorId="139" shapeId="0" xr:uid="{BAB2CA93-A57E-4960-B422-23E99B2046E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sistema utiliza servicios como SLF4J para la administración de registros y seguridad en la comunicación de datos </t>
      </text>
    </comment>
    <comment ref="D28" authorId="140" shapeId="0" xr:uid="{9D4988CE-999D-464B-A0B7-3D9F3F6BAA7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Los datos sobre la cantidad de medicamentos se actualizan en la base de datos en la nube cada vez que se toma una tableta. Si la cantidad de tabletas es menor a 10, tanto el doctor como el farmacéutico son notificados </t>
      </text>
    </comment>
    <comment ref="H28" authorId="141" shapeId="0" xr:uid="{08CCAB63-9236-40EE-A394-AC37CE7328B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los medicamentos se insertan en el dispositivo a través de un embudo colocado en la parte superior del dispositivo </t>
      </text>
    </comment>
    <comment ref="I28" authorId="142" shapeId="0" xr:uid="{5FDAC83C-7396-4F5E-9001-E8A0D47C79A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puede almacenar el medicamento durante 7 días. Para cada día, tenemos 3 compartimentos para la mañana, tarde y noche. Así que, para 7 días, tenemos un total de 21 compartimentos (7x3). El dispensador de pastillas se puede cargar previamente, así como programarse por el propio paciente </t>
      </text>
    </comment>
    <comment ref="J28" authorId="143" shapeId="0" xr:uid="{4C2A1619-8B69-4299-8570-B8DE8495B5E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mecanismo de recarga es preciso y permite al usuario rellenar los contenedores de manera sencilla y exacta </t>
      </text>
    </comment>
    <comment ref="P28" authorId="144" shapeId="0" xr:uid="{0D35BFE3-AECD-4DC8-978C-B3D36BBE0C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persona a cargo será guiada para insertar un tipo específico de pastilla en la caja de pastillas y presionar un botón en la aplicación una vez completada esta acción... esta acción se repetirá hasta que todos los compartimentos de pastillas hayan sido recargados </t>
      </text>
    </comment>
    <comment ref="V28" authorId="145" shapeId="0" xr:uid="{C930FF5B-E7D1-493F-9113-D173E92F8BC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al final del ciclo de dosis programadas para el día, el sistema enviará una notificación al usuario a través de la aplicación móvil para recordarle que debe recargar el dispensador con nuevas pastillas para el siguiente ciclo de administración </t>
      </text>
    </comment>
    <comment ref="W28" authorId="146" shapeId="0" xr:uid="{D2CE7E64-3FFA-4FCA-845B-4FE20E22984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dispositivo está diseñado para ser cargado con medicamentos para un mes completo, reduciendo la carga de trabajo de los cuidadores o usuarios </t>
      </text>
    </comment>
    <comment ref="AA28" authorId="147" shapeId="0" xr:uid="{D529CCEA-E2E0-4344-8CE1-C4C2222B159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usuario puede añadir información de medicamentos y rellenar el dispensador mediante comandos de voz </t>
      </text>
    </comment>
    <comment ref="I29" authorId="148" shapeId="0" xr:uid="{D2241A40-6957-4624-8CCB-7E60ED59DA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interfaz sencilla del dispensador están diseñadas para ser fáciles de usar para cualquier persona </t>
      </text>
    </comment>
    <comment ref="K29" authorId="149" shapeId="0" xr:uid="{CB786A1D-AEFC-4901-B908-9074EE9B4A8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sistema ofrece opciones de accesibilidad mediante un sistema de reconocimiento de voz, permitiendo a los pacientes interactuar con la computadora usando comandos de voz </t>
      </text>
    </comment>
    <comment ref="N29" authorId="150" shapeId="0" xr:uid="{349482EB-6803-4CEE-8B74-AE2B63FB7B4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Braille en el contexto del dispensador de medicamentos es utilizado para permitir que las personas con discapacidades visuales identifiquen y localicen de manera precisa y autónoma los compartimentos correctos dentro del dispensador. Los números en Braille, grabados en la parte superior de cada puerta de compartimento, proporcionan una interfaz táctil que los usuarios pueden leer mediante el tacto </t>
      </text>
    </comment>
    <comment ref="Y29" authorId="151" shapeId="0" xr:uid="{1908F378-250A-469F-BA3A-87E0DD59E61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dispensador utiliza comandos de voz para mejorar la interacción humano-máquina, lo cual puede ser beneficioso para personas con discapacidades visuales </t>
      </text>
    </comment>
    <comment ref="AA29" authorId="152" shapeId="0" xr:uid="{148474A9-296A-4713-9683-6338861C1E30}">
      <text>
        <t>[Comentario encadenado]
Su versión de Excel le permite leer este comentario encadenado; sin embargo, las ediciones que se apliquen se quitarán si el archivo se abre en una versión más reciente de Excel. Más información: https://go.microsoft.com/fwlink/?linkid=870924
Comentario:
    El sistema está diseñado para ser accesible mediante interacciones de voz, especialmente útil para personas ciegas o con discapacidad visual</t>
      </text>
    </comment>
    <comment ref="U30" authorId="153" shapeId="0" xr:uid="{C1DA9CF6-806C-47C9-A40E-B215FC96035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dispensador de jarabes también puede ser utilizado para otros líquidos como agua o glucosa.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<sst xmlns="http://schemas.openxmlformats.org/spreadsheetml/2006/main" count="909" uniqueCount="242">
  <si>
    <t>IEEE</t>
  </si>
  <si>
    <t>ACM</t>
  </si>
  <si>
    <t>SCIENCEDIRECT</t>
  </si>
  <si>
    <t>Scopus</t>
  </si>
  <si>
    <t>ScienceDirect</t>
  </si>
  <si>
    <t>Enhancing healthcare using m-Care box (Monitoring non-compliance of medication)</t>
  </si>
  <si>
    <t>An IoT based Smart Medicine Dispenser Model for Healthcare</t>
  </si>
  <si>
    <t>Design and Development of Smart Pill Dispenser</t>
  </si>
  <si>
    <t>Design and Implementation of IoT-based Programmable Assistive Intelligent Adaptive Pillbox</t>
  </si>
  <si>
    <t>Automated Medicinal-Pill Dispenser with Cellular and Wi-Fi IoT Integration</t>
  </si>
  <si>
    <t>IoT based Advance Pill Reminder System for Distinct Patients</t>
  </si>
  <si>
    <t>Smart Medical Dispenser With Pulse Meter</t>
  </si>
  <si>
    <t>Smart Healthcare Expert System with Medicine Dispenser</t>
  </si>
  <si>
    <t>Use of Internet of Things (IoT) in Healthcare: A Survey</t>
  </si>
  <si>
    <t>Remote Monitoring Applying IoT to Improve Control of Medication Adherence in Geriatric Patients with a complex Treatment Regimen, Lima-Peru</t>
  </si>
  <si>
    <t>Intelligent and assisted medicine dispensing machine for elderly visual impaired people with deep neural network fingerprint authentication system</t>
  </si>
  <si>
    <t>Intelligent multi-dose medication controller for fever: From wearable devices to remote dispensers</t>
  </si>
  <si>
    <t>Smart drugs:Improving healthcare using Smart Pill Box for Medicine Reminder and Monitoring System</t>
  </si>
  <si>
    <t>IoT Based Intelligent Pill Dispenser for Elderly People</t>
  </si>
  <si>
    <t>An IoT-Based Pill Management System for Elderly</t>
  </si>
  <si>
    <t>IoT based Medicine Reminder and Dispensing Machine</t>
  </si>
  <si>
    <t>An Automated and Online-Based Medicine Reminder and Dispenser</t>
  </si>
  <si>
    <t>PILLBOT: Non-Contact Medicine Dispensing System for Patients in Quarantine</t>
  </si>
  <si>
    <t>Smart Pill Dispenser with Monitoring System</t>
  </si>
  <si>
    <t>Biometric Enabled Patient-Centric Automated Medication Dispenser Using IoT</t>
  </si>
  <si>
    <t>Integration of Internet of Things technology into a pill dispenser</t>
  </si>
  <si>
    <t>A Smart Pill Dispenser to support Elderly People in Medication Adherence</t>
  </si>
  <si>
    <t>Programable IoT Pills Dispenser</t>
  </si>
  <si>
    <t>Smart Medicine Planner for Visually Impaired People</t>
  </si>
  <si>
    <t>IoT Enabled Prescription Reading Smart Medicine Dispenser Implementing Maximally Stable Extremal Regions and OCR</t>
  </si>
  <si>
    <t>IOT based portable medical kit</t>
  </si>
  <si>
    <t>IOT based advanced medicine dispenser integrated with an interactive web application</t>
  </si>
  <si>
    <t>A Homemade Pill Dispenser Prototype Supporting Elderly</t>
  </si>
  <si>
    <t>The autonomous pill dispenser: Mechanizing the delivery of tablet medication</t>
  </si>
  <si>
    <t>Total de caracteristicas</t>
  </si>
  <si>
    <t xml:space="preserve">Aplicacion informatica </t>
  </si>
  <si>
    <t>App móvil</t>
  </si>
  <si>
    <t>Embebido</t>
  </si>
  <si>
    <t>App Web</t>
  </si>
  <si>
    <t>App web</t>
  </si>
  <si>
    <t>App movil</t>
  </si>
  <si>
    <t>Comunicación entre Dispositivos</t>
  </si>
  <si>
    <t>se conecta a la red local Wi-Fi</t>
  </si>
  <si>
    <t>wifi</t>
  </si>
  <si>
    <t>MQTT</t>
  </si>
  <si>
    <t>Wi-fi</t>
  </si>
  <si>
    <t xml:space="preserve">Wi-Fi </t>
  </si>
  <si>
    <t>Wifi</t>
  </si>
  <si>
    <t>Wi-Fi.</t>
  </si>
  <si>
    <t>protocolo I2C</t>
  </si>
  <si>
    <t>Bluetooth, Wifi</t>
  </si>
  <si>
    <t>Bluetooth</t>
  </si>
  <si>
    <t>Alarmas audibles</t>
  </si>
  <si>
    <t>zumbador</t>
  </si>
  <si>
    <t>Zumbador</t>
  </si>
  <si>
    <t>altavoz</t>
  </si>
  <si>
    <t>Zumbador, altavoz</t>
  </si>
  <si>
    <t xml:space="preserve">zumbador </t>
  </si>
  <si>
    <t>Altavoz</t>
  </si>
  <si>
    <t>Alertas Antes de la hora</t>
  </si>
  <si>
    <t>10 minutos</t>
  </si>
  <si>
    <t>Alertas despues de la hora</t>
  </si>
  <si>
    <t>sms</t>
  </si>
  <si>
    <t>alertas emergentes</t>
  </si>
  <si>
    <t>correo</t>
  </si>
  <si>
    <t>IFTTT</t>
  </si>
  <si>
    <t>IFFT</t>
  </si>
  <si>
    <t>Alertas emergentes</t>
  </si>
  <si>
    <t xml:space="preserve">  </t>
  </si>
  <si>
    <t>Lugar de Procesamiento de datos</t>
  </si>
  <si>
    <t>nube</t>
  </si>
  <si>
    <t>Borde</t>
  </si>
  <si>
    <t>borde</t>
  </si>
  <si>
    <t>procesamiento borde</t>
  </si>
  <si>
    <t xml:space="preserve">Mostrar informarcion </t>
  </si>
  <si>
    <t>LCD</t>
  </si>
  <si>
    <t>monitor serial</t>
  </si>
  <si>
    <t xml:space="preserve">LCD </t>
  </si>
  <si>
    <t>Pantalla Led</t>
  </si>
  <si>
    <t>Alarmas visuales</t>
  </si>
  <si>
    <t>LED</t>
  </si>
  <si>
    <t xml:space="preserve">Componente para dispensasion precisa </t>
  </si>
  <si>
    <t>Motor DC</t>
  </si>
  <si>
    <t>motor de vibracion</t>
  </si>
  <si>
    <t>servo motor</t>
  </si>
  <si>
    <t xml:space="preserve">Infrarrojos </t>
  </si>
  <si>
    <t>motor a paso</t>
  </si>
  <si>
    <t xml:space="preserve">Sensor TTP223B1 </t>
  </si>
  <si>
    <t>motor paso a paso</t>
  </si>
  <si>
    <t>servomotor</t>
  </si>
  <si>
    <t>servo motores</t>
  </si>
  <si>
    <t>motores paso</t>
  </si>
  <si>
    <t xml:space="preserve">sermovomotor
</t>
  </si>
  <si>
    <t>N/A</t>
  </si>
  <si>
    <t>Responsable programacion de dosis</t>
  </si>
  <si>
    <t>Medico establece la dosis</t>
  </si>
  <si>
    <t>solo a usuario autorizado</t>
  </si>
  <si>
    <t>programacion establecida</t>
  </si>
  <si>
    <t>x</t>
  </si>
  <si>
    <t>si</t>
  </si>
  <si>
    <t>Entrega de dosis</t>
  </si>
  <si>
    <t>Si</t>
  </si>
  <si>
    <t>Monitoreo remoto</t>
  </si>
  <si>
    <t>Signos vitales</t>
  </si>
  <si>
    <t>Registro de adeherencia</t>
  </si>
  <si>
    <t>Participacion del usuario en el desarrollo/ Pruebas con usuarios</t>
  </si>
  <si>
    <t>Prueba de aceptacion</t>
  </si>
  <si>
    <t>10 susuarios</t>
  </si>
  <si>
    <t>Tipo de Medicamento Soportado</t>
  </si>
  <si>
    <t>Capsulas (Sólidos)</t>
  </si>
  <si>
    <t>3 tipos de medicamentos, tabletas (sólidos)</t>
  </si>
  <si>
    <t>sólidos</t>
  </si>
  <si>
    <t xml:space="preserve">pastillas (sólidos) </t>
  </si>
  <si>
    <t>medicamentos antipiréticos (sólidos)</t>
  </si>
  <si>
    <t>(sólidos, líquidos)</t>
  </si>
  <si>
    <t xml:space="preserve">(sólidos, líquidos) </t>
  </si>
  <si>
    <t>Pildoras (sólidos)</t>
  </si>
  <si>
    <t xml:space="preserve">Pildoras (Sólidos) </t>
  </si>
  <si>
    <t>Pastillas (Sólidos)</t>
  </si>
  <si>
    <t>Sólidos</t>
  </si>
  <si>
    <t>Liquidos</t>
  </si>
  <si>
    <t>Material de construccion del recipiente</t>
  </si>
  <si>
    <t>Madera, PLA (ácido poliláctico)impresión 3d</t>
  </si>
  <si>
    <t xml:space="preserve">madera </t>
  </si>
  <si>
    <t>3D</t>
  </si>
  <si>
    <t>Plástico</t>
  </si>
  <si>
    <t>plástico</t>
  </si>
  <si>
    <t>madera</t>
  </si>
  <si>
    <t>Forma del recipiente</t>
  </si>
  <si>
    <t>circular con 14 compartimentos</t>
  </si>
  <si>
    <t xml:space="preserve"> 21 compartimentos</t>
  </si>
  <si>
    <t>Cilíndrica</t>
  </si>
  <si>
    <t xml:space="preserve">diseñado con siete compartimientos </t>
  </si>
  <si>
    <t>Circular</t>
  </si>
  <si>
    <t>Cajones</t>
  </si>
  <si>
    <t>circular</t>
  </si>
  <si>
    <t>isometrico</t>
  </si>
  <si>
    <t>31 compartimentos</t>
  </si>
  <si>
    <t xml:space="preserve"> patrón circular </t>
  </si>
  <si>
    <t>Roles</t>
  </si>
  <si>
    <t>Paciente, médico, farmaceutico</t>
  </si>
  <si>
    <t>administrador, usuario</t>
  </si>
  <si>
    <t>cuidador, paciente</t>
  </si>
  <si>
    <t xml:space="preserve"> paciente, cuidador y médico</t>
  </si>
  <si>
    <t>pacientes, cuidadores y profesional médico</t>
  </si>
  <si>
    <t>paciente y cuidador</t>
  </si>
  <si>
    <t>Paciente, cuidador</t>
  </si>
  <si>
    <t>paciente</t>
  </si>
  <si>
    <t>cuidador</t>
  </si>
  <si>
    <t>médico</t>
  </si>
  <si>
    <t>Autenticacion de usuario en dispensador</t>
  </si>
  <si>
    <t>Huella dactilar</t>
  </si>
  <si>
    <t>RFID</t>
  </si>
  <si>
    <t>huella dactilar</t>
  </si>
  <si>
    <t>credenciales</t>
  </si>
  <si>
    <t>Autenticacion de usuario en aplicación informatica</t>
  </si>
  <si>
    <t>email</t>
  </si>
  <si>
    <t>usuario (credenciales)</t>
  </si>
  <si>
    <t>Integración de Sensores de salud</t>
  </si>
  <si>
    <t>bio-sensores</t>
  </si>
  <si>
    <t>Oximetro, temperatura, ritmo cardiaco</t>
  </si>
  <si>
    <t xml:space="preserve"> Oximetro</t>
  </si>
  <si>
    <t>Temperatura, pulso</t>
  </si>
  <si>
    <t>sensores de temperatura corporal</t>
  </si>
  <si>
    <t>sensor EGG</t>
  </si>
  <si>
    <t>Reloj en tiempo real</t>
  </si>
  <si>
    <t>RTC</t>
  </si>
  <si>
    <t xml:space="preserve">RTC </t>
  </si>
  <si>
    <t>Mecanismo de seguridad de datos</t>
  </si>
  <si>
    <t>encriptación de extremo a extremo</t>
  </si>
  <si>
    <t xml:space="preserve">OTP </t>
  </si>
  <si>
    <t>Seguridad por MQTT</t>
  </si>
  <si>
    <t>HTTPS</t>
  </si>
  <si>
    <t xml:space="preserve">SLF4J </t>
  </si>
  <si>
    <t xml:space="preserve"> Carga de Medicamentos</t>
  </si>
  <si>
    <t>Automatica</t>
  </si>
  <si>
    <t>manual</t>
  </si>
  <si>
    <t>Manual</t>
  </si>
  <si>
    <t>Carga por voz</t>
  </si>
  <si>
    <t>Opciones de accesibilidad</t>
  </si>
  <si>
    <t>Interfaz sencilla</t>
  </si>
  <si>
    <t>Braille</t>
  </si>
  <si>
    <t>interacciones de voz</t>
  </si>
  <si>
    <t>Dispensacion de agua</t>
  </si>
  <si>
    <t>Podría</t>
  </si>
  <si>
    <t>Mediante el fingerprint</t>
  </si>
  <si>
    <t>usuario</t>
  </si>
  <si>
    <t>Acercamiento a infrarojos</t>
  </si>
  <si>
    <t>paciente/cuidador Verifica sintomas</t>
  </si>
  <si>
    <t>30 minutos</t>
  </si>
  <si>
    <t>infrarojos</t>
  </si>
  <si>
    <t>interfaz web</t>
  </si>
  <si>
    <t>cuidador, paciente, doctor</t>
  </si>
  <si>
    <t>cuidador, doctor</t>
  </si>
  <si>
    <t>Abre el compartimento</t>
  </si>
  <si>
    <t>ID</t>
  </si>
  <si>
    <t>Programacion establecida por cuidador o usuario</t>
  </si>
  <si>
    <t>Presiona un boton</t>
  </si>
  <si>
    <t>6  sub contenedores</t>
  </si>
  <si>
    <t>Basado en sensores</t>
  </si>
  <si>
    <t>Abre el compartimiento</t>
  </si>
  <si>
    <t>Rectangular</t>
  </si>
  <si>
    <t>interaccion por voz</t>
  </si>
  <si>
    <t>algoritmo</t>
  </si>
  <si>
    <t>analisis de sensores</t>
  </si>
  <si>
    <t>Si implica</t>
  </si>
  <si>
    <t>Abre compartimento</t>
  </si>
  <si>
    <t>paciente, doctor, farmacéutico y cuidador</t>
  </si>
  <si>
    <t>SPI</t>
  </si>
  <si>
    <t>Circular o cuadrada</t>
  </si>
  <si>
    <t>farmacéutico</t>
  </si>
  <si>
    <t>Presiona boton táctil</t>
  </si>
  <si>
    <t>Presencia sensor IR</t>
  </si>
  <si>
    <t>medico o usuario</t>
  </si>
  <si>
    <t>Abre cajon</t>
  </si>
  <si>
    <t>paciente, cuidador</t>
  </si>
  <si>
    <t>deteccion de taza</t>
  </si>
  <si>
    <t>presionar boton</t>
  </si>
  <si>
    <t>90 minutos</t>
  </si>
  <si>
    <t>usuario, paciente</t>
  </si>
  <si>
    <t>coloca el dedo en sensor</t>
  </si>
  <si>
    <t>Plataforma remota</t>
  </si>
  <si>
    <t>hora establecida</t>
  </si>
  <si>
    <t>cilindrica</t>
  </si>
  <si>
    <t>Permite</t>
  </si>
  <si>
    <t>Entrega automatica</t>
  </si>
  <si>
    <t>Hora establecida</t>
  </si>
  <si>
    <t>sensor ultrasónico</t>
  </si>
  <si>
    <t>Presencia del usuario</t>
  </si>
  <si>
    <t>Wifi, Bluetooth</t>
  </si>
  <si>
    <t xml:space="preserve">GSM SIM900A </t>
  </si>
  <si>
    <t xml:space="preserve">integración con la nube (Wifi) </t>
  </si>
  <si>
    <t>Transmision de datos nube, JSON (Wifi)</t>
  </si>
  <si>
    <t>No menciona</t>
  </si>
  <si>
    <t>Embebida</t>
  </si>
  <si>
    <t>Nube</t>
  </si>
  <si>
    <t>SMS</t>
  </si>
  <si>
    <t>Correo</t>
  </si>
  <si>
    <t>Líquidos</t>
  </si>
  <si>
    <t>Madera</t>
  </si>
  <si>
    <t>Característica para los lineamientos</t>
  </si>
  <si>
    <t>Tipo de notificaciones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</si>
</sst>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9"/>
      <color rgb="FF006699"/>
      <name val="Times New Roman"/>
      <family val="1"/>
    </font>
    <font>
      <b/>
      <sz val="9"/>
      <name val="Times New Roman"/>
      <family val="1"/>
    </font>
    <font>
      <sz val="9"/>
      <color rgb="FF000000"/>
      <name val="Times New Roman"/>
      <family val="1"/>
    </font>
    <font>
      <sz val="10"/>
      <color rgb="FF000000"/>
      <name val="Times New Roman"/>
      <family val="1"/>
    </font>
    <font>
      <sz val="9"/>
      <color indexed="81"/>
      <name val="Tahoma"/>
      <family val="2"/>
    </font>
    <font>
      <b/>
      <sz val="9"/>
      <color indexed="81"/>
      <name val="Tahoma"/>
      <family val="2"/>
    </font>
  </fonts>
  <fills count="9">
    <fill>
      <patternFill patternType="none"/>
    </fill>
    <fill>
      <patternFill patternType="gray125"/>
    </fill>
    <fill>
      <patternFill patternType="solid">
        <fgColor rgb="FF92D050"/>
        <bgColor indexed="64"/>
      </patternFill>
    </fill>
    <fill>
      <patternFill patternType="solid">
        <fgColor rgb="FF0070C0"/>
        <bgColor indexed="64"/>
      </patternFill>
    </fill>
    <fill>
      <patternFill patternType="solid">
        <fgColor rgb="FF00B0F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bgColor indexed="64"/>
      </patternFill>
    </fill>
    <fill>
      <patternFill patternType="solid">
        <fgColor theme="5" tint="0.39997558519241921"/>
        <bgColor indexed="64"/>
      </patternFill>
    </fill>
  </fills>
  <borders count="13">
    <border>
      <left/>
      <right/>
      <top/>
      <bottom/>
      <diagonal/>
    </border>
    <border>
      <left/>
      <right/>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diagonal/>
    </border>
    <border>
      <left/>
      <right style="medium">
        <color rgb="FF000000"/>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rgb="FF000000"/>
      </top>
      <bottom/>
      <diagonal/>
    </border>
    <border>
      <left style="medium">
        <color rgb="FF000000"/>
      </left>
      <right style="medium">
        <color rgb="FF000000"/>
      </right>
      <top/>
      <bottom/>
      <diagonal/>
    </border>
    <border>
      <left style="thin">
        <color indexed="64"/>
      </left>
      <right style="thin">
        <color indexed="64"/>
      </right>
      <top style="thin">
        <color indexed="64"/>
      </top>
      <bottom/>
      <diagonal/>
    </border>
  </borders>
  <cellStyleXfs count="1">
    <xf numFmtId="0" fontId="0" fillId="0" borderId="0"/>
  </cellStyleXfs>
  <cellXfs count="39">
    <xf numFmtId="0" fontId="0" fillId="0" borderId="0" xfId="0"/>
    <xf numFmtId="0" fontId="0" fillId="0" borderId="0" xfId="0" applyAlignment="1">
      <alignment wrapText="1"/>
    </xf>
    <xf numFmtId="0" fontId="0" fillId="0" borderId="0" xfId="0" applyAlignment="1">
      <alignment horizontal="right"/>
    </xf>
    <xf numFmtId="0" fontId="0" fillId="3" borderId="0" xfId="0" applyFill="1" applyAlignment="1">
      <alignment horizontal="center"/>
    </xf>
    <xf numFmtId="0" fontId="0" fillId="4" borderId="0" xfId="0" applyFill="1" applyAlignment="1">
      <alignment horizontal="center"/>
    </xf>
    <xf numFmtId="0" fontId="0" fillId="5" borderId="1" xfId="0" applyFill="1" applyBorder="1" applyAlignment="1">
      <alignment horizontal="center"/>
    </xf>
    <xf numFmtId="0" fontId="3" fillId="6" borderId="2" xfId="0" applyFont="1" applyFill="1" applyBorder="1" applyAlignment="1">
      <alignment horizontal="center" vertical="center" wrapText="1"/>
    </xf>
    <xf numFmtId="0" fontId="4" fillId="0" borderId="3" xfId="0" applyFont="1" applyBorder="1" applyAlignment="1">
      <alignment horizontal="center" vertical="center" wrapText="1"/>
    </xf>
    <xf numFmtId="0" fontId="5" fillId="0" borderId="4" xfId="0" applyFont="1" applyBorder="1" applyAlignment="1">
      <alignment horizontal="center" vertical="center" wrapText="1"/>
    </xf>
    <xf numFmtId="0" fontId="0" fillId="3" borderId="0" xfId="0" applyFill="1" applyAlignment="1">
      <alignment horizontal="center" wrapText="1"/>
    </xf>
    <xf numFmtId="0" fontId="0" fillId="4" borderId="0" xfId="0" applyFill="1" applyAlignment="1">
      <alignment horizontal="right"/>
    </xf>
    <xf numFmtId="0" fontId="3" fillId="6" borderId="6" xfId="0" applyFont="1" applyFill="1" applyBorder="1" applyAlignment="1">
      <alignment horizontal="center" vertical="center" wrapText="1"/>
    </xf>
    <xf numFmtId="0" fontId="0" fillId="6" borderId="7" xfId="0" applyFill="1" applyBorder="1"/>
    <xf numFmtId="0" fontId="0" fillId="6" borderId="5" xfId="0" applyFill="1" applyBorder="1"/>
    <xf numFmtId="0" fontId="3" fillId="6" borderId="8" xfId="0" applyFont="1" applyFill="1" applyBorder="1" applyAlignment="1">
      <alignment horizontal="center" vertical="center" wrapText="1"/>
    </xf>
    <xf numFmtId="0" fontId="1" fillId="0" borderId="2" xfId="0" applyFont="1" applyBorder="1"/>
    <xf numFmtId="0" fontId="2" fillId="2" borderId="10" xfId="0" applyFont="1" applyFill="1" applyBorder="1" applyAlignment="1">
      <alignment vertical="top" wrapText="1"/>
    </xf>
    <xf numFmtId="0" fontId="2" fillId="2" borderId="3" xfId="0" applyFont="1" applyFill="1" applyBorder="1" applyAlignment="1">
      <alignment vertical="top" wrapText="1"/>
    </xf>
    <xf numFmtId="0" fontId="2" fillId="2" borderId="11" xfId="0" applyFont="1" applyFill="1" applyBorder="1" applyAlignment="1">
      <alignment vertical="top" wrapText="1"/>
    </xf>
    <xf numFmtId="0" fontId="0" fillId="7" borderId="0" xfId="0" applyFill="1" applyAlignment="1">
      <alignment horizontal="right"/>
    </xf>
    <xf numFmtId="0" fontId="0" fillId="7" borderId="2" xfId="0" applyFill="1" applyBorder="1" applyAlignment="1">
      <alignment horizontal="right"/>
    </xf>
    <xf numFmtId="0" fontId="0" fillId="7" borderId="2" xfId="0" applyFill="1" applyBorder="1" applyAlignment="1">
      <alignment horizontal="right" wrapText="1"/>
    </xf>
    <xf numFmtId="0" fontId="0" fillId="8" borderId="0" xfId="0" applyFill="1"/>
    <xf numFmtId="0" fontId="0" fillId="8" borderId="0" xfId="0" applyFill="1" applyAlignment="1">
      <alignment horizontal="center"/>
    </xf>
    <xf numFmtId="0" fontId="2" fillId="8" borderId="3" xfId="0" applyFont="1" applyFill="1" applyBorder="1" applyAlignment="1">
      <alignment vertical="top" wrapText="1"/>
    </xf>
    <xf numFmtId="0" fontId="2" fillId="2" borderId="3" xfId="0" applyFont="1" applyFill="1" applyBorder="1" applyAlignment="1">
      <alignment horizontal="left" vertical="top" wrapText="1"/>
    </xf>
    <xf numFmtId="0" fontId="0" fillId="7" borderId="0" xfId="0" applyFill="1"/>
    <xf numFmtId="0" fontId="0" fillId="7" borderId="2" xfId="0" applyFill="1" applyBorder="1"/>
    <xf numFmtId="0" fontId="0" fillId="0" borderId="2" xfId="0" applyBorder="1" applyAlignment="1">
      <alignment horizontal="right"/>
    </xf>
    <xf numFmtId="0" fontId="0" fillId="0" borderId="2" xfId="0" applyBorder="1" applyAlignment="1">
      <alignment horizontal="right" wrapText="1"/>
    </xf>
    <xf numFmtId="0" fontId="0" fillId="0" borderId="12" xfId="0" applyBorder="1" applyAlignment="1">
      <alignment horizontal="right"/>
    </xf>
    <xf numFmtId="0" fontId="0" fillId="0" borderId="12" xfId="0" applyBorder="1" applyAlignment="1">
      <alignment horizontal="right" wrapText="1"/>
    </xf>
    <xf numFmtId="0" fontId="0" fillId="0" borderId="2" xfId="0" applyBorder="1"/>
    <xf numFmtId="0" fontId="0" fillId="4" borderId="0" xfId="0" applyFill="1" applyAlignment="1">
      <alignment horizontal="center"/>
    </xf>
    <xf numFmtId="0" fontId="0" fillId="5" borderId="1" xfId="0" applyFill="1" applyBorder="1" applyAlignment="1">
      <alignment horizontal="center"/>
    </xf>
    <xf numFmtId="0" fontId="0" fillId="3" borderId="7" xfId="0" applyFill="1" applyBorder="1" applyAlignment="1">
      <alignment horizontal="center"/>
    </xf>
    <xf numFmtId="0" fontId="0" fillId="3" borderId="9" xfId="0" applyFill="1" applyBorder="1" applyAlignment="1">
      <alignment horizontal="center"/>
    </xf>
    <xf numFmtId="0" fontId="0" fillId="3" borderId="8" xfId="0" applyFill="1" applyBorder="1" applyAlignment="1">
      <alignment horizontal="center"/>
    </xf>
    <xf numFmtId="0" fontId="0" fillId="6"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externalLink" Target="externalLinks/externalLink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Lineamientos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manualLayout>
          <c:layoutTarget val="inner"/>
          <c:xMode val="edge"/>
          <c:yMode val="edge"/>
          <c:x val="0.374426444052952"/>
          <c:y val="0.14538856149251045"/>
          <c:w val="0.60249156489813505"/>
          <c:h val="0.79175042722303535"/>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Hoja1!$C$5:$C$30</c:f>
              <c:strCache>
                <c:ptCount val="26"/>
                <c:pt idx="0">
                  <c:v>Aplicacion informatica </c:v>
                </c:pt>
                <c:pt idx="1">
                  <c:v>Comunicación entre Dispositivos</c:v>
                </c:pt>
                <c:pt idx="2">
                  <c:v>Alarmas audibles</c:v>
                </c:pt>
                <c:pt idx="3">
                  <c:v>Alertas Antes de la hora</c:v>
                </c:pt>
                <c:pt idx="4">
                  <c:v>Alertas despues de la hora</c:v>
                </c:pt>
                <c:pt idx="5">
                  <c:v>Tipo de notificaciones</c:v>
                </c:pt>
                <c:pt idx="6">
                  <c:v>Lugar de Procesamiento de datos</c:v>
                </c:pt>
                <c:pt idx="7">
                  <c:v>Mostrar informarcion </c:v>
                </c:pt>
                <c:pt idx="8">
                  <c:v>Alarmas visuales</c:v>
                </c:pt>
                <c:pt idx="9">
                  <c:v>Componente para dispensasion precisa </c:v>
                </c:pt>
                <c:pt idx="10">
                  <c:v>Responsable programacion de dosis</c:v>
                </c:pt>
                <c:pt idx="11">
                  <c:v>Entrega de dosis</c:v>
                </c:pt>
                <c:pt idx="12">
                  <c:v>Monitoreo remoto</c:v>
                </c:pt>
                <c:pt idx="13">
                  <c:v>Participacion del usuario en el desarrollo/ Pruebas con usuarios</c:v>
                </c:pt>
                <c:pt idx="14">
                  <c:v>Tipo de Medicamento Soportado</c:v>
                </c:pt>
                <c:pt idx="15">
                  <c:v>Material de construccion del recipiente</c:v>
                </c:pt>
                <c:pt idx="16">
                  <c:v>Forma del recipiente</c:v>
                </c:pt>
                <c:pt idx="17">
                  <c:v>Roles</c:v>
                </c:pt>
                <c:pt idx="18">
                  <c:v>Autenticacion de usuario en dispensador</c:v>
                </c:pt>
                <c:pt idx="19">
                  <c:v>Autenticacion de usuario en aplicación informatica</c:v>
                </c:pt>
                <c:pt idx="20">
                  <c:v>Integración de Sensores de salud</c:v>
                </c:pt>
                <c:pt idx="21">
                  <c:v>Reloj en tiempo real</c:v>
                </c:pt>
                <c:pt idx="22">
                  <c:v>Mecanismo de seguridad de datos</c:v>
                </c:pt>
                <c:pt idx="23">
                  <c:v> Carga de Medicamentos</c:v>
                </c:pt>
                <c:pt idx="24">
                  <c:v>Opciones de accesibilidad</c:v>
                </c:pt>
                <c:pt idx="25">
                  <c:v>Dispensacion de agua</c:v>
                </c:pt>
              </c:strCache>
            </c:strRef>
          </c:cat>
          <c:val>
            <c:numRef>
              <c:f>Hoja1!$AG$5:$AG$30</c:f>
              <c:numCache>
                <c:formatCode>General</c:formatCode>
                <c:ptCount val="26"/>
                <c:pt idx="0">
                  <c:v>28</c:v>
                </c:pt>
                <c:pt idx="1">
                  <c:v>28</c:v>
                </c:pt>
                <c:pt idx="2">
                  <c:v>16</c:v>
                </c:pt>
                <c:pt idx="3">
                  <c:v>2</c:v>
                </c:pt>
                <c:pt idx="4">
                  <c:v>6</c:v>
                </c:pt>
                <c:pt idx="5">
                  <c:v>18</c:v>
                </c:pt>
                <c:pt idx="6">
                  <c:v>22</c:v>
                </c:pt>
                <c:pt idx="7">
                  <c:v>17</c:v>
                </c:pt>
                <c:pt idx="8">
                  <c:v>14</c:v>
                </c:pt>
                <c:pt idx="9">
                  <c:v>19</c:v>
                </c:pt>
                <c:pt idx="10">
                  <c:v>28</c:v>
                </c:pt>
                <c:pt idx="11">
                  <c:v>25</c:v>
                </c:pt>
                <c:pt idx="12">
                  <c:v>16</c:v>
                </c:pt>
                <c:pt idx="13">
                  <c:v>10</c:v>
                </c:pt>
                <c:pt idx="14">
                  <c:v>12</c:v>
                </c:pt>
                <c:pt idx="15">
                  <c:v>10</c:v>
                </c:pt>
                <c:pt idx="16">
                  <c:v>14</c:v>
                </c:pt>
                <c:pt idx="17">
                  <c:v>13</c:v>
                </c:pt>
                <c:pt idx="18">
                  <c:v>6</c:v>
                </c:pt>
                <c:pt idx="19">
                  <c:v>7</c:v>
                </c:pt>
                <c:pt idx="20">
                  <c:v>6</c:v>
                </c:pt>
                <c:pt idx="21">
                  <c:v>7</c:v>
                </c:pt>
                <c:pt idx="22">
                  <c:v>5</c:v>
                </c:pt>
                <c:pt idx="23">
                  <c:v>11</c:v>
                </c:pt>
                <c:pt idx="24">
                  <c:v>5</c:v>
                </c:pt>
                <c:pt idx="25">
                  <c:v>1</c:v>
                </c:pt>
              </c:numCache>
            </c:numRef>
          </c:val>
          <c:extLst>
            <c:ext xmlns:c16="http://schemas.microsoft.com/office/drawing/2014/chart" uri="{C3380CC4-5D6E-409C-BE32-E72D297353CC}">
              <c16:uniqueId val="{00000000-38A5-4238-9DBC-411D62435486}"/>
            </c:ext>
          </c:extLst>
        </c:ser>
        <c:dLbls>
          <c:dLblPos val="outEnd"/>
          <c:showLegendKey val="0"/>
          <c:showVal val="1"/>
          <c:showCatName val="0"/>
          <c:showSerName val="0"/>
          <c:showPercent val="0"/>
          <c:showBubbleSize val="0"/>
        </c:dLbls>
        <c:gapWidth val="182"/>
        <c:axId val="680547071"/>
        <c:axId val="713069439"/>
      </c:barChart>
      <c:catAx>
        <c:axId val="680547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13069439"/>
        <c:crosses val="autoZero"/>
        <c:auto val="1"/>
        <c:lblAlgn val="ctr"/>
        <c:lblOffset val="100"/>
        <c:noMultiLvlLbl val="0"/>
      </c:catAx>
      <c:valAx>
        <c:axId val="7130694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805470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s-MX"/>
              <a:t>Aplicación informática</a:t>
            </a:r>
          </a:p>
        </c:rich>
      </c:tx>
      <c:overlay val="0"/>
      <c:spPr>
        <a:noFill/>
        <a:ln>
          <a:noFill/>
        </a:ln>
        <a:effectLst/>
      </c:spPr>
    </c:title>
    <c:autoTitleDeleted val="0"/>
    <c:plotArea>
      <c:layout/>
      <c:pieChart>
        <c:varyColors val="1"/>
        <c:ser>
          <c:idx val="0"/>
          <c:order val="0"/>
          <c:spPr>
            <a:ln>
              <a:solidFill>
                <a:schemeClr val="bg1">
                  <a:alpha val="86000"/>
                </a:schemeClr>
              </a:solidFill>
            </a:ln>
          </c:spPr>
          <c:dPt>
            <c:idx val="0"/>
            <c:bubble3D val="0"/>
            <c:spPr>
              <a:solidFill>
                <a:schemeClr val="accent1"/>
              </a:solidFill>
              <a:ln>
                <a:solidFill>
                  <a:schemeClr val="bg1">
                    <a:alpha val="86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1-BB03-4889-B904-746B17202A87}"/>
              </c:ext>
            </c:extLst>
          </c:dPt>
          <c:dPt>
            <c:idx val="1"/>
            <c:bubble3D val="0"/>
            <c:spPr>
              <a:pattFill prst="pct90">
                <a:fgClr>
                  <a:schemeClr val="accent2"/>
                </a:fgClr>
                <a:bgClr>
                  <a:schemeClr val="bg1"/>
                </a:bgClr>
              </a:pattFill>
              <a:ln w="15875">
                <a:solidFill>
                  <a:schemeClr val="bg1">
                    <a:alpha val="86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3-BB03-4889-B904-746B17202A87}"/>
              </c:ext>
            </c:extLst>
          </c:dPt>
          <c:dPt>
            <c:idx val="2"/>
            <c:bubble3D val="0"/>
            <c:spPr>
              <a:solidFill>
                <a:schemeClr val="accent3"/>
              </a:solidFill>
              <a:ln>
                <a:solidFill>
                  <a:schemeClr val="bg1">
                    <a:alpha val="86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5-BB03-4889-B904-746B17202A87}"/>
              </c:ext>
            </c:extLst>
          </c:dPt>
          <c:dLbls>
            <c:dLbl>
              <c:idx val="0"/>
              <c:layout>
                <c:manualLayout>
                  <c:x val="7.4736439195100618E-2"/>
                  <c:y val="-6.4114537766112575E-2"/>
                </c:manualLayout>
              </c:layout>
              <c:dLblPos val="bestFi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B03-4889-B904-746B17202A87}"/>
                </c:ext>
              </c:extLst>
            </c:dLbl>
            <c:dLbl>
              <c:idx val="1"/>
              <c:layout>
                <c:manualLayout>
                  <c:x val="-0.10370275590551178"/>
                  <c:y val="-0.15810731991834354"/>
                </c:manualLayout>
              </c:layout>
              <c:dLblPos val="bestFi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B03-4889-B904-746B17202A87}"/>
                </c:ext>
              </c:extLst>
            </c:dLbl>
            <c:dLbl>
              <c:idx val="2"/>
              <c:layout>
                <c:manualLayout>
                  <c:x val="-4.3763560804899411E-2"/>
                  <c:y val="4.5427967337416116E-2"/>
                </c:manualLayout>
              </c:layou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B03-4889-B904-746B17202A87}"/>
                </c:ext>
              </c:extLst>
            </c:dLbl>
            <c:dLbl>
              <c:idx val="3"/>
              <c:layout>
                <c:manualLayout>
                  <c:x val="-9.143569553805779E-2"/>
                  <c:y val="3.5446923301254013E-2"/>
                </c:manualLayout>
              </c:layou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BB03-4889-B904-746B17202A87}"/>
                </c:ext>
              </c:extLst>
            </c:dLbl>
            <c:dLbl>
              <c:idx val="4"/>
              <c:layout>
                <c:manualLayout>
                  <c:x val="-9.2298993875765525E-2"/>
                  <c:y val="-1.367490522018081E-2"/>
                </c:manualLayout>
              </c:layou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B03-4889-B904-746B17202A87}"/>
                </c:ext>
              </c:extLst>
            </c:dLbl>
            <c:spPr>
              <a:noFill/>
              <a:ln>
                <a:solidFill>
                  <a:schemeClr val="accent1"/>
                </a:solidFill>
              </a:ln>
              <a:effectLst/>
            </c:spPr>
            <c:txPr>
              <a:bodyPr rot="0" vert="horz"/>
              <a:lstStyle/>
              <a:p>
                <a:pPr>
                  <a:defRPr/>
                </a:pPr>
                <a:endParaRPr lang="es-MX"/>
              </a:p>
            </c:txPr>
            <c:showLegendKey val="1"/>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[1]Hoja2!$M$4:$M$6</c:f>
              <c:strCache>
                <c:ptCount val="3"/>
                <c:pt idx="0">
                  <c:v>App móvil</c:v>
                </c:pt>
                <c:pt idx="1">
                  <c:v>App web</c:v>
                </c:pt>
                <c:pt idx="2">
                  <c:v>Embebida</c:v>
                </c:pt>
              </c:strCache>
            </c:strRef>
          </c:cat>
          <c:val>
            <c:numRef>
              <c:f>[1]Hoja2!$N$4:$N$6</c:f>
              <c:numCache>
                <c:formatCode>General</c:formatCode>
                <c:ptCount val="3"/>
                <c:pt idx="0">
                  <c:v>16</c:v>
                </c:pt>
                <c:pt idx="1">
                  <c:v>7</c:v>
                </c:pt>
                <c:pt idx="2">
                  <c:v>5</c:v>
                </c:pt>
              </c:numCache>
            </c:numRef>
          </c:val>
          <c:extLst>
            <c:ext xmlns:c16="http://schemas.microsoft.com/office/drawing/2014/chart" uri="{C3380CC4-5D6E-409C-BE32-E72D297353CC}">
              <c16:uniqueId val="{00000008-BB03-4889-B904-746B17202A87}"/>
            </c:ext>
          </c:extLst>
        </c:ser>
        <c:dLbls>
          <c:dLblPos val="inEnd"/>
          <c:showLegendKey val="0"/>
          <c:showVal val="0"/>
          <c:showCatName val="0"/>
          <c:showSerName val="0"/>
          <c:showPercent val="1"/>
          <c:showBubbleSize val="0"/>
          <c:showLeaderLines val="1"/>
        </c:dLbls>
        <c:firstSliceAng val="0"/>
      </c:pieChart>
    </c:plotArea>
    <c:legend>
      <c:legendPos val="b"/>
      <c:overlay val="0"/>
      <c:spPr>
        <a:solidFill>
          <a:schemeClr val="lt1">
            <a:alpha val="78000"/>
          </a:schemeClr>
        </a:solidFill>
        <a:ln>
          <a:noFill/>
        </a:ln>
        <a:effectLst/>
      </c:spPr>
      <c:txPr>
        <a:bodyPr rot="0" vert="horz"/>
        <a:lstStyle/>
        <a:p>
          <a:pPr>
            <a:defRPr/>
          </a:pPr>
          <a:endParaRPr lang="es-MX"/>
        </a:p>
      </c:txPr>
    </c:legend>
    <c:plotVisOnly val="1"/>
    <c:dispBlanksAs val="gap"/>
    <c:showDLblsOverMax val="0"/>
  </c:chart>
  <c:spPr>
    <a:noFill/>
    <a:ln w="9525" cap="flat" cmpd="sng" algn="ctr">
      <a:noFill/>
      <a:round/>
    </a:ln>
    <a:effectLst/>
  </c:spPr>
  <c:txPr>
    <a:bodyPr/>
    <a:lstStyle/>
    <a:p>
      <a:pPr>
        <a:defRPr sz="1500"/>
      </a:pPr>
      <a:endParaRPr lang="es-MX"/>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s-MX"/>
              <a:t>Lugar de procesamiento de datos</a:t>
            </a:r>
          </a:p>
        </c:rich>
      </c:tx>
      <c:overlay val="0"/>
      <c:spPr>
        <a:noFill/>
        <a:ln>
          <a:noFill/>
        </a:ln>
        <a:effectLst/>
      </c:spPr>
    </c:title>
    <c:autoTitleDeleted val="0"/>
    <c:plotArea>
      <c:layout/>
      <c:pieChart>
        <c:varyColors val="1"/>
        <c:ser>
          <c:idx val="0"/>
          <c:order val="0"/>
          <c:spPr>
            <a:ln>
              <a:solidFill>
                <a:schemeClr val="bg1">
                  <a:alpha val="86000"/>
                </a:schemeClr>
              </a:solidFill>
            </a:ln>
          </c:spPr>
          <c:dPt>
            <c:idx val="0"/>
            <c:bubble3D val="0"/>
            <c:spPr>
              <a:solidFill>
                <a:schemeClr val="accent1"/>
              </a:solidFill>
              <a:ln>
                <a:solidFill>
                  <a:schemeClr val="bg1">
                    <a:alpha val="86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1-C567-4913-9B9F-51531449EA36}"/>
              </c:ext>
            </c:extLst>
          </c:dPt>
          <c:dPt>
            <c:idx val="1"/>
            <c:bubble3D val="0"/>
            <c:spPr>
              <a:pattFill prst="pct90">
                <a:fgClr>
                  <a:schemeClr val="accent2"/>
                </a:fgClr>
                <a:bgClr>
                  <a:schemeClr val="bg1"/>
                </a:bgClr>
              </a:pattFill>
              <a:ln w="15875">
                <a:solidFill>
                  <a:schemeClr val="bg1">
                    <a:alpha val="86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3-C567-4913-9B9F-51531449EA36}"/>
              </c:ext>
            </c:extLst>
          </c:dPt>
          <c:dPt>
            <c:idx val="2"/>
            <c:bubble3D val="0"/>
            <c:spPr>
              <a:solidFill>
                <a:schemeClr val="accent3"/>
              </a:solidFill>
              <a:ln>
                <a:solidFill>
                  <a:schemeClr val="bg1">
                    <a:alpha val="86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5-C567-4913-9B9F-51531449EA36}"/>
              </c:ext>
            </c:extLst>
          </c:dPt>
          <c:dLbls>
            <c:dLbl>
              <c:idx val="0"/>
              <c:layout>
                <c:manualLayout>
                  <c:x val="7.4736439195100618E-2"/>
                  <c:y val="-6.4114537766112575E-2"/>
                </c:manualLayout>
              </c:layout>
              <c:dLblPos val="bestFi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567-4913-9B9F-51531449EA36}"/>
                </c:ext>
              </c:extLst>
            </c:dLbl>
            <c:dLbl>
              <c:idx val="1"/>
              <c:layout>
                <c:manualLayout>
                  <c:x val="-0.10370275590551178"/>
                  <c:y val="-0.15810731991834354"/>
                </c:manualLayout>
              </c:layout>
              <c:dLblPos val="bestFi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567-4913-9B9F-51531449EA36}"/>
                </c:ext>
              </c:extLst>
            </c:dLbl>
            <c:dLbl>
              <c:idx val="2"/>
              <c:layout>
                <c:manualLayout>
                  <c:x val="-4.3763560804899411E-2"/>
                  <c:y val="4.5427967337416116E-2"/>
                </c:manualLayout>
              </c:layou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567-4913-9B9F-51531449EA36}"/>
                </c:ext>
              </c:extLst>
            </c:dLbl>
            <c:dLbl>
              <c:idx val="3"/>
              <c:layout>
                <c:manualLayout>
                  <c:x val="-9.143569553805779E-2"/>
                  <c:y val="3.5446923301254013E-2"/>
                </c:manualLayout>
              </c:layou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C567-4913-9B9F-51531449EA36}"/>
                </c:ext>
              </c:extLst>
            </c:dLbl>
            <c:dLbl>
              <c:idx val="4"/>
              <c:layout>
                <c:manualLayout>
                  <c:x val="-9.2298993875765525E-2"/>
                  <c:y val="-1.367490522018081E-2"/>
                </c:manualLayout>
              </c:layou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567-4913-9B9F-51531449EA36}"/>
                </c:ext>
              </c:extLst>
            </c:dLbl>
            <c:spPr>
              <a:noFill/>
              <a:ln>
                <a:solidFill>
                  <a:schemeClr val="accent1"/>
                </a:solidFill>
              </a:ln>
              <a:effectLst/>
            </c:spPr>
            <c:txPr>
              <a:bodyPr rot="0" vert="horz"/>
              <a:lstStyle/>
              <a:p>
                <a:pPr>
                  <a:defRPr/>
                </a:pPr>
                <a:endParaRPr lang="es-MX"/>
              </a:p>
            </c:txPr>
            <c:showLegendKey val="1"/>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[1]Hoja2!$M$12:$M$13</c:f>
              <c:strCache>
                <c:ptCount val="2"/>
                <c:pt idx="0">
                  <c:v>Nube</c:v>
                </c:pt>
                <c:pt idx="1">
                  <c:v>Borde</c:v>
                </c:pt>
              </c:strCache>
            </c:strRef>
          </c:cat>
          <c:val>
            <c:numRef>
              <c:f>[1]Hoja2!$N$12:$N$13</c:f>
              <c:numCache>
                <c:formatCode>General</c:formatCode>
                <c:ptCount val="2"/>
                <c:pt idx="0">
                  <c:v>13</c:v>
                </c:pt>
                <c:pt idx="1">
                  <c:v>9</c:v>
                </c:pt>
              </c:numCache>
            </c:numRef>
          </c:val>
          <c:extLst>
            <c:ext xmlns:c16="http://schemas.microsoft.com/office/drawing/2014/chart" uri="{C3380CC4-5D6E-409C-BE32-E72D297353CC}">
              <c16:uniqueId val="{00000008-C567-4913-9B9F-51531449EA36}"/>
            </c:ext>
          </c:extLst>
        </c:ser>
        <c:dLbls>
          <c:dLblPos val="inEnd"/>
          <c:showLegendKey val="0"/>
          <c:showVal val="0"/>
          <c:showCatName val="0"/>
          <c:showSerName val="0"/>
          <c:showPercent val="1"/>
          <c:showBubbleSize val="0"/>
          <c:showLeaderLines val="1"/>
        </c:dLbls>
        <c:firstSliceAng val="0"/>
      </c:pieChart>
    </c:plotArea>
    <c:legend>
      <c:legendPos val="b"/>
      <c:overlay val="0"/>
      <c:spPr>
        <a:solidFill>
          <a:schemeClr val="lt1">
            <a:alpha val="78000"/>
          </a:schemeClr>
        </a:solidFill>
        <a:ln>
          <a:noFill/>
        </a:ln>
        <a:effectLst/>
      </c:spPr>
      <c:txPr>
        <a:bodyPr rot="0" vert="horz"/>
        <a:lstStyle/>
        <a:p>
          <a:pPr>
            <a:defRPr/>
          </a:pPr>
          <a:endParaRPr lang="es-MX"/>
        </a:p>
      </c:txPr>
    </c:legend>
    <c:plotVisOnly val="1"/>
    <c:dispBlanksAs val="gap"/>
    <c:showDLblsOverMax val="0"/>
  </c:chart>
  <c:spPr>
    <a:noFill/>
    <a:ln w="9525" cap="flat" cmpd="sng" algn="ctr">
      <a:noFill/>
      <a:round/>
    </a:ln>
    <a:effectLst/>
  </c:spPr>
  <c:txPr>
    <a:bodyPr/>
    <a:lstStyle/>
    <a:p>
      <a:pPr>
        <a:defRPr sz="1500">
          <a:solidFill>
            <a:sysClr val="windowText" lastClr="000000"/>
          </a:solidFill>
        </a:defRPr>
      </a:pPr>
      <a:endParaRPr lang="es-MX"/>
    </a:p>
  </c:txPr>
  <c:printSettings>
    <c:headerFooter/>
    <c:pageMargins b="0.75" l="0.7" r="0.7" t="0.75" header="0.3" footer="0.3"/>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s-MX"/>
              <a:t>Tipo de notificaciones</a:t>
            </a:r>
          </a:p>
        </c:rich>
      </c:tx>
      <c:overlay val="0"/>
      <c:spPr>
        <a:noFill/>
        <a:ln>
          <a:noFill/>
        </a:ln>
        <a:effectLst/>
      </c:spPr>
    </c:title>
    <c:autoTitleDeleted val="0"/>
    <c:plotArea>
      <c:layout/>
      <c:pieChart>
        <c:varyColors val="1"/>
        <c:ser>
          <c:idx val="0"/>
          <c:order val="0"/>
          <c:spPr>
            <a:ln>
              <a:solidFill>
                <a:schemeClr val="bg1">
                  <a:alpha val="86000"/>
                </a:schemeClr>
              </a:solidFill>
            </a:ln>
          </c:spPr>
          <c:dPt>
            <c:idx val="0"/>
            <c:bubble3D val="0"/>
            <c:spPr>
              <a:solidFill>
                <a:schemeClr val="accent1"/>
              </a:solidFill>
              <a:ln>
                <a:solidFill>
                  <a:schemeClr val="bg1">
                    <a:alpha val="86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1-099A-40F5-9348-6BCEB9B217F2}"/>
              </c:ext>
            </c:extLst>
          </c:dPt>
          <c:dPt>
            <c:idx val="1"/>
            <c:bubble3D val="0"/>
            <c:spPr>
              <a:pattFill prst="pct90">
                <a:fgClr>
                  <a:schemeClr val="accent2"/>
                </a:fgClr>
                <a:bgClr>
                  <a:schemeClr val="bg1"/>
                </a:bgClr>
              </a:pattFill>
              <a:ln w="15875">
                <a:solidFill>
                  <a:schemeClr val="bg1">
                    <a:alpha val="86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3-099A-40F5-9348-6BCEB9B217F2}"/>
              </c:ext>
            </c:extLst>
          </c:dPt>
          <c:dPt>
            <c:idx val="2"/>
            <c:bubble3D val="0"/>
            <c:spPr>
              <a:solidFill>
                <a:schemeClr val="accent3"/>
              </a:solidFill>
              <a:ln>
                <a:solidFill>
                  <a:schemeClr val="bg1">
                    <a:alpha val="86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5-099A-40F5-9348-6BCEB9B217F2}"/>
              </c:ext>
            </c:extLst>
          </c:dPt>
          <c:dLbls>
            <c:dLbl>
              <c:idx val="0"/>
              <c:layout>
                <c:manualLayout>
                  <c:x val="7.4736439195100618E-2"/>
                  <c:y val="-6.4114537766112575E-2"/>
                </c:manualLayout>
              </c:layout>
              <c:dLblPos val="bestFi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99A-40F5-9348-6BCEB9B217F2}"/>
                </c:ext>
              </c:extLst>
            </c:dLbl>
            <c:dLbl>
              <c:idx val="1"/>
              <c:layout>
                <c:manualLayout>
                  <c:x val="-0.10370275590551178"/>
                  <c:y val="-0.15810731991834354"/>
                </c:manualLayout>
              </c:layout>
              <c:dLblPos val="bestFi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99A-40F5-9348-6BCEB9B217F2}"/>
                </c:ext>
              </c:extLst>
            </c:dLbl>
            <c:dLbl>
              <c:idx val="2"/>
              <c:layout>
                <c:manualLayout>
                  <c:x val="-4.3763560804899411E-2"/>
                  <c:y val="4.5427967337416116E-2"/>
                </c:manualLayout>
              </c:layou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99A-40F5-9348-6BCEB9B217F2}"/>
                </c:ext>
              </c:extLst>
            </c:dLbl>
            <c:dLbl>
              <c:idx val="3"/>
              <c:layout>
                <c:manualLayout>
                  <c:x val="-9.143569553805779E-2"/>
                  <c:y val="3.5446923301254013E-2"/>
                </c:manualLayout>
              </c:layou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099A-40F5-9348-6BCEB9B217F2}"/>
                </c:ext>
              </c:extLst>
            </c:dLbl>
            <c:dLbl>
              <c:idx val="4"/>
              <c:layout>
                <c:manualLayout>
                  <c:x val="-9.2298993875765525E-2"/>
                  <c:y val="-1.367490522018081E-2"/>
                </c:manualLayout>
              </c:layou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99A-40F5-9348-6BCEB9B217F2}"/>
                </c:ext>
              </c:extLst>
            </c:dLbl>
            <c:spPr>
              <a:noFill/>
              <a:ln>
                <a:solidFill>
                  <a:schemeClr val="accent1"/>
                </a:solidFill>
              </a:ln>
              <a:effectLst/>
            </c:spPr>
            <c:txPr>
              <a:bodyPr rot="0" vert="horz"/>
              <a:lstStyle/>
              <a:p>
                <a:pPr>
                  <a:defRPr/>
                </a:pPr>
                <a:endParaRPr lang="es-MX"/>
              </a:p>
            </c:txPr>
            <c:showLegendKey val="1"/>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[1]Hoja2!$M$22:$M$26</c:f>
              <c:strCache>
                <c:ptCount val="5"/>
                <c:pt idx="0">
                  <c:v>App móvil</c:v>
                </c:pt>
                <c:pt idx="1">
                  <c:v>SMS</c:v>
                </c:pt>
                <c:pt idx="2">
                  <c:v>Correo</c:v>
                </c:pt>
                <c:pt idx="3">
                  <c:v>IFFT</c:v>
                </c:pt>
                <c:pt idx="4">
                  <c:v>Alertas emergentes</c:v>
                </c:pt>
              </c:strCache>
            </c:strRef>
          </c:cat>
          <c:val>
            <c:numRef>
              <c:f>[1]Hoja2!$N$22:$N$26</c:f>
              <c:numCache>
                <c:formatCode>General</c:formatCode>
                <c:ptCount val="5"/>
                <c:pt idx="0">
                  <c:v>7</c:v>
                </c:pt>
                <c:pt idx="1">
                  <c:v>7</c:v>
                </c:pt>
                <c:pt idx="2">
                  <c:v>2</c:v>
                </c:pt>
                <c:pt idx="3">
                  <c:v>1</c:v>
                </c:pt>
                <c:pt idx="4">
                  <c:v>1</c:v>
                </c:pt>
              </c:numCache>
            </c:numRef>
          </c:val>
          <c:extLst>
            <c:ext xmlns:c16="http://schemas.microsoft.com/office/drawing/2014/chart" uri="{C3380CC4-5D6E-409C-BE32-E72D297353CC}">
              <c16:uniqueId val="{00000008-099A-40F5-9348-6BCEB9B217F2}"/>
            </c:ext>
          </c:extLst>
        </c:ser>
        <c:dLbls>
          <c:dLblPos val="inEnd"/>
          <c:showLegendKey val="0"/>
          <c:showVal val="0"/>
          <c:showCatName val="0"/>
          <c:showSerName val="0"/>
          <c:showPercent val="1"/>
          <c:showBubbleSize val="0"/>
          <c:showLeaderLines val="1"/>
        </c:dLbls>
        <c:firstSliceAng val="0"/>
      </c:pieChart>
    </c:plotArea>
    <c:legend>
      <c:legendPos val="b"/>
      <c:overlay val="0"/>
      <c:spPr>
        <a:solidFill>
          <a:schemeClr val="lt1">
            <a:alpha val="78000"/>
          </a:schemeClr>
        </a:solidFill>
        <a:ln>
          <a:noFill/>
        </a:ln>
        <a:effectLst/>
      </c:spPr>
      <c:txPr>
        <a:bodyPr rot="0" vert="horz"/>
        <a:lstStyle/>
        <a:p>
          <a:pPr>
            <a:defRPr/>
          </a:pPr>
          <a:endParaRPr lang="es-MX"/>
        </a:p>
      </c:txPr>
    </c:legend>
    <c:plotVisOnly val="1"/>
    <c:dispBlanksAs val="gap"/>
    <c:showDLblsOverMax val="0"/>
  </c:chart>
  <c:spPr>
    <a:noFill/>
    <a:ln w="9525" cap="flat" cmpd="sng" algn="ctr">
      <a:noFill/>
      <a:round/>
    </a:ln>
    <a:effectLst/>
  </c:spPr>
  <c:txPr>
    <a:bodyPr/>
    <a:lstStyle/>
    <a:p>
      <a:pPr>
        <a:defRPr sz="1500"/>
      </a:pPr>
      <a:endParaRPr lang="es-MX"/>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US"/>
              <a:t>Tipo de medicamentos</a:t>
            </a:r>
          </a:p>
        </c:rich>
      </c:tx>
      <c:overlay val="0"/>
      <c:spPr>
        <a:noFill/>
        <a:ln>
          <a:noFill/>
        </a:ln>
        <a:effectLst/>
      </c:spPr>
    </c:title>
    <c:autoTitleDeleted val="0"/>
    <c:plotArea>
      <c:layout/>
      <c:pieChart>
        <c:varyColors val="1"/>
        <c:ser>
          <c:idx val="0"/>
          <c:order val="0"/>
          <c:spPr>
            <a:ln>
              <a:solidFill>
                <a:schemeClr val="bg1">
                  <a:alpha val="86000"/>
                </a:schemeClr>
              </a:solidFill>
            </a:ln>
          </c:spPr>
          <c:dPt>
            <c:idx val="0"/>
            <c:bubble3D val="0"/>
            <c:spPr>
              <a:solidFill>
                <a:schemeClr val="accent1"/>
              </a:solidFill>
              <a:ln>
                <a:solidFill>
                  <a:schemeClr val="bg1">
                    <a:alpha val="86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1-8286-4876-9322-29E6A0588BF6}"/>
              </c:ext>
            </c:extLst>
          </c:dPt>
          <c:dPt>
            <c:idx val="1"/>
            <c:bubble3D val="0"/>
            <c:spPr>
              <a:pattFill prst="pct90">
                <a:fgClr>
                  <a:schemeClr val="accent2"/>
                </a:fgClr>
                <a:bgClr>
                  <a:schemeClr val="bg1"/>
                </a:bgClr>
              </a:pattFill>
              <a:ln w="15875">
                <a:solidFill>
                  <a:schemeClr val="bg1">
                    <a:alpha val="86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3-8286-4876-9322-29E6A0588BF6}"/>
              </c:ext>
            </c:extLst>
          </c:dPt>
          <c:dPt>
            <c:idx val="2"/>
            <c:bubble3D val="0"/>
            <c:spPr>
              <a:solidFill>
                <a:schemeClr val="accent3"/>
              </a:solidFill>
              <a:ln>
                <a:solidFill>
                  <a:schemeClr val="bg1">
                    <a:alpha val="86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5-8286-4876-9322-29E6A0588BF6}"/>
              </c:ext>
            </c:extLst>
          </c:dPt>
          <c:dLbls>
            <c:dLbl>
              <c:idx val="0"/>
              <c:layout>
                <c:manualLayout>
                  <c:x val="7.4736439195100618E-2"/>
                  <c:y val="-6.4114537766112575E-2"/>
                </c:manualLayout>
              </c:layout>
              <c:dLblPos val="bestFi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286-4876-9322-29E6A0588BF6}"/>
                </c:ext>
              </c:extLst>
            </c:dLbl>
            <c:dLbl>
              <c:idx val="1"/>
              <c:layout>
                <c:manualLayout>
                  <c:x val="-7.5924978127734077E-2"/>
                  <c:y val="4.5596383785360121E-2"/>
                </c:manualLayout>
              </c:layout>
              <c:dLblPos val="bestFi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286-4876-9322-29E6A0588BF6}"/>
                </c:ext>
              </c:extLst>
            </c:dLbl>
            <c:spPr>
              <a:noFill/>
              <a:ln>
                <a:solidFill>
                  <a:schemeClr val="accent1"/>
                </a:solidFill>
              </a:ln>
              <a:effectLst/>
            </c:spPr>
            <c:txPr>
              <a:bodyPr rot="0" vert="horz"/>
              <a:lstStyle/>
              <a:p>
                <a:pPr>
                  <a:defRPr/>
                </a:pPr>
                <a:endParaRPr lang="es-MX"/>
              </a:p>
            </c:txPr>
            <c:dLblPos val="inEnd"/>
            <c:showLegendKey val="1"/>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[1]Hoja2!$M$30:$M$31</c:f>
              <c:strCache>
                <c:ptCount val="2"/>
                <c:pt idx="0">
                  <c:v>Sólidos</c:v>
                </c:pt>
                <c:pt idx="1">
                  <c:v>Líquidos</c:v>
                </c:pt>
              </c:strCache>
            </c:strRef>
          </c:cat>
          <c:val>
            <c:numRef>
              <c:f>[1]Hoja2!$N$30:$N$31</c:f>
              <c:numCache>
                <c:formatCode>General</c:formatCode>
                <c:ptCount val="2"/>
                <c:pt idx="0">
                  <c:v>12</c:v>
                </c:pt>
                <c:pt idx="1">
                  <c:v>2</c:v>
                </c:pt>
              </c:numCache>
            </c:numRef>
          </c:val>
          <c:extLst>
            <c:ext xmlns:c16="http://schemas.microsoft.com/office/drawing/2014/chart" uri="{C3380CC4-5D6E-409C-BE32-E72D297353CC}">
              <c16:uniqueId val="{00000006-8286-4876-9322-29E6A0588BF6}"/>
            </c:ext>
          </c:extLst>
        </c:ser>
        <c:dLbls>
          <c:dLblPos val="inEnd"/>
          <c:showLegendKey val="0"/>
          <c:showVal val="0"/>
          <c:showCatName val="0"/>
          <c:showSerName val="0"/>
          <c:showPercent val="1"/>
          <c:showBubbleSize val="0"/>
          <c:showLeaderLines val="1"/>
        </c:dLbls>
        <c:firstSliceAng val="0"/>
      </c:pieChart>
    </c:plotArea>
    <c:legend>
      <c:legendPos val="b"/>
      <c:overlay val="0"/>
      <c:spPr>
        <a:solidFill>
          <a:schemeClr val="lt1">
            <a:alpha val="78000"/>
          </a:schemeClr>
        </a:solidFill>
        <a:ln>
          <a:noFill/>
        </a:ln>
        <a:effectLst/>
      </c:spPr>
      <c:txPr>
        <a:bodyPr rot="0" vert="horz"/>
        <a:lstStyle/>
        <a:p>
          <a:pPr>
            <a:defRPr/>
          </a:pPr>
          <a:endParaRPr lang="es-MX"/>
        </a:p>
      </c:txPr>
    </c:legend>
    <c:plotVisOnly val="1"/>
    <c:dispBlanksAs val="gap"/>
    <c:showDLblsOverMax val="0"/>
  </c:chart>
  <c:spPr>
    <a:noFill/>
    <a:ln w="9525" cap="flat" cmpd="sng" algn="ctr">
      <a:noFill/>
      <a:round/>
    </a:ln>
    <a:effectLst/>
  </c:spPr>
  <c:txPr>
    <a:bodyPr/>
    <a:lstStyle/>
    <a:p>
      <a:pPr>
        <a:defRPr sz="1500"/>
      </a:pPr>
      <a:endParaRPr lang="es-MX"/>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s-MX"/>
              <a:t>Alarmas audibles</a:t>
            </a:r>
          </a:p>
        </c:rich>
      </c:tx>
      <c:overlay val="0"/>
      <c:spPr>
        <a:noFill/>
        <a:ln>
          <a:noFill/>
        </a:ln>
        <a:effectLst/>
      </c:spPr>
    </c:title>
    <c:autoTitleDeleted val="0"/>
    <c:plotArea>
      <c:layout/>
      <c:pieChart>
        <c:varyColors val="1"/>
        <c:ser>
          <c:idx val="0"/>
          <c:order val="0"/>
          <c:spPr>
            <a:ln>
              <a:solidFill>
                <a:schemeClr val="bg1">
                  <a:alpha val="86000"/>
                </a:schemeClr>
              </a:solidFill>
            </a:ln>
          </c:spPr>
          <c:dPt>
            <c:idx val="0"/>
            <c:bubble3D val="0"/>
            <c:spPr>
              <a:solidFill>
                <a:schemeClr val="accent1"/>
              </a:solidFill>
              <a:ln>
                <a:solidFill>
                  <a:schemeClr val="bg1">
                    <a:alpha val="86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1-7FDD-4431-8653-DB2570486E95}"/>
              </c:ext>
            </c:extLst>
          </c:dPt>
          <c:dPt>
            <c:idx val="1"/>
            <c:bubble3D val="0"/>
            <c:spPr>
              <a:pattFill prst="pct90">
                <a:fgClr>
                  <a:schemeClr val="accent2"/>
                </a:fgClr>
                <a:bgClr>
                  <a:schemeClr val="bg1"/>
                </a:bgClr>
              </a:pattFill>
              <a:ln w="15875">
                <a:solidFill>
                  <a:schemeClr val="bg1">
                    <a:alpha val="86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3-7FDD-4431-8653-DB2570486E95}"/>
              </c:ext>
            </c:extLst>
          </c:dPt>
          <c:dPt>
            <c:idx val="2"/>
            <c:bubble3D val="0"/>
            <c:spPr>
              <a:solidFill>
                <a:schemeClr val="accent3"/>
              </a:solidFill>
              <a:ln>
                <a:solidFill>
                  <a:schemeClr val="bg1">
                    <a:alpha val="86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5-7FDD-4431-8653-DB2570486E95}"/>
              </c:ext>
            </c:extLst>
          </c:dPt>
          <c:dLbls>
            <c:dLbl>
              <c:idx val="0"/>
              <c:layout>
                <c:manualLayout>
                  <c:x val="5.5291994750656166E-2"/>
                  <c:y val="-5.485527850685331E-2"/>
                </c:manualLayout>
              </c:layout>
              <c:dLblPos val="bestFi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FDD-4431-8653-DB2570486E95}"/>
                </c:ext>
              </c:extLst>
            </c:dLbl>
            <c:dLbl>
              <c:idx val="1"/>
              <c:layout>
                <c:manualLayout>
                  <c:x val="-6.203608923884512E-2"/>
                  <c:y val="-2.3848060659084281E-2"/>
                </c:manualLayout>
              </c:layout>
              <c:dLblPos val="bestFi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FDD-4431-8653-DB2570486E95}"/>
                </c:ext>
              </c:extLst>
            </c:dLbl>
            <c:dLbl>
              <c:idx val="2"/>
              <c:layout>
                <c:manualLayout>
                  <c:x val="-4.3763560804899411E-2"/>
                  <c:y val="4.5427967337416116E-2"/>
                </c:manualLayout>
              </c:layou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FDD-4431-8653-DB2570486E95}"/>
                </c:ext>
              </c:extLst>
            </c:dLbl>
            <c:dLbl>
              <c:idx val="3"/>
              <c:layout>
                <c:manualLayout>
                  <c:x val="-9.143569553805779E-2"/>
                  <c:y val="3.5446923301254013E-2"/>
                </c:manualLayout>
              </c:layou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7FDD-4431-8653-DB2570486E95}"/>
                </c:ext>
              </c:extLst>
            </c:dLbl>
            <c:dLbl>
              <c:idx val="4"/>
              <c:layout>
                <c:manualLayout>
                  <c:x val="-9.2298993875765525E-2"/>
                  <c:y val="-1.367490522018081E-2"/>
                </c:manualLayout>
              </c:layou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FDD-4431-8653-DB2570486E95}"/>
                </c:ext>
              </c:extLst>
            </c:dLbl>
            <c:spPr>
              <a:noFill/>
              <a:ln>
                <a:solidFill>
                  <a:schemeClr val="accent1"/>
                </a:solidFill>
              </a:ln>
              <a:effectLst/>
            </c:spPr>
            <c:txPr>
              <a:bodyPr rot="0" vert="horz"/>
              <a:lstStyle/>
              <a:p>
                <a:pPr>
                  <a:defRPr/>
                </a:pPr>
                <a:endParaRPr lang="es-MX"/>
              </a:p>
            </c:txPr>
            <c:showLegendKey val="1"/>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[1]Hoja2!$M$36:$M$37</c:f>
              <c:strCache>
                <c:ptCount val="2"/>
                <c:pt idx="0">
                  <c:v>Zumbador</c:v>
                </c:pt>
                <c:pt idx="1">
                  <c:v>Altavoz</c:v>
                </c:pt>
              </c:strCache>
            </c:strRef>
          </c:cat>
          <c:val>
            <c:numRef>
              <c:f>[1]Hoja2!$N$36:$N$37</c:f>
              <c:numCache>
                <c:formatCode>General</c:formatCode>
                <c:ptCount val="2"/>
                <c:pt idx="0">
                  <c:v>13</c:v>
                </c:pt>
                <c:pt idx="1">
                  <c:v>4</c:v>
                </c:pt>
              </c:numCache>
            </c:numRef>
          </c:val>
          <c:extLst>
            <c:ext xmlns:c16="http://schemas.microsoft.com/office/drawing/2014/chart" uri="{C3380CC4-5D6E-409C-BE32-E72D297353CC}">
              <c16:uniqueId val="{00000008-7FDD-4431-8653-DB2570486E95}"/>
            </c:ext>
          </c:extLst>
        </c:ser>
        <c:dLbls>
          <c:dLblPos val="inEnd"/>
          <c:showLegendKey val="0"/>
          <c:showVal val="0"/>
          <c:showCatName val="0"/>
          <c:showSerName val="0"/>
          <c:showPercent val="1"/>
          <c:showBubbleSize val="0"/>
          <c:showLeaderLines val="1"/>
        </c:dLbls>
        <c:firstSliceAng val="0"/>
      </c:pieChart>
    </c:plotArea>
    <c:legend>
      <c:legendPos val="b"/>
      <c:overlay val="0"/>
      <c:spPr>
        <a:solidFill>
          <a:schemeClr val="lt1">
            <a:alpha val="78000"/>
          </a:schemeClr>
        </a:solidFill>
        <a:ln>
          <a:noFill/>
        </a:ln>
        <a:effectLst/>
      </c:spPr>
      <c:txPr>
        <a:bodyPr rot="0" vert="horz"/>
        <a:lstStyle/>
        <a:p>
          <a:pPr>
            <a:defRPr/>
          </a:pPr>
          <a:endParaRPr lang="es-MX"/>
        </a:p>
      </c:txPr>
    </c:legend>
    <c:plotVisOnly val="1"/>
    <c:dispBlanksAs val="gap"/>
    <c:showDLblsOverMax val="0"/>
  </c:chart>
  <c:spPr>
    <a:noFill/>
    <a:ln w="9525" cap="flat" cmpd="sng" algn="ctr">
      <a:noFill/>
      <a:round/>
    </a:ln>
    <a:effectLst/>
  </c:spPr>
  <c:txPr>
    <a:bodyPr/>
    <a:lstStyle/>
    <a:p>
      <a:pPr>
        <a:defRPr sz="1500"/>
      </a:pPr>
      <a:endParaRPr lang="es-MX"/>
    </a:p>
  </c:txPr>
  <c:printSettings>
    <c:headerFooter/>
    <c:pageMargins b="0.75" l="0.7" r="0.7" t="0.75" header="0.3" footer="0.3"/>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s-MX"/>
              <a:t>Material de construcción</a:t>
            </a:r>
          </a:p>
        </c:rich>
      </c:tx>
      <c:overlay val="0"/>
      <c:spPr>
        <a:noFill/>
        <a:ln>
          <a:noFill/>
        </a:ln>
        <a:effectLst/>
      </c:spPr>
    </c:title>
    <c:autoTitleDeleted val="0"/>
    <c:plotArea>
      <c:layout/>
      <c:pieChart>
        <c:varyColors val="1"/>
        <c:ser>
          <c:idx val="0"/>
          <c:order val="0"/>
          <c:spPr>
            <a:ln>
              <a:solidFill>
                <a:schemeClr val="bg1">
                  <a:alpha val="86000"/>
                </a:schemeClr>
              </a:solidFill>
            </a:ln>
          </c:spPr>
          <c:dPt>
            <c:idx val="0"/>
            <c:bubble3D val="0"/>
            <c:spPr>
              <a:solidFill>
                <a:schemeClr val="accent1"/>
              </a:solidFill>
              <a:ln>
                <a:solidFill>
                  <a:schemeClr val="bg1">
                    <a:alpha val="86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1-3695-49DC-A10A-10E4AD2C7250}"/>
              </c:ext>
            </c:extLst>
          </c:dPt>
          <c:dPt>
            <c:idx val="1"/>
            <c:bubble3D val="0"/>
            <c:spPr>
              <a:pattFill prst="pct90">
                <a:fgClr>
                  <a:schemeClr val="accent2"/>
                </a:fgClr>
                <a:bgClr>
                  <a:schemeClr val="bg1"/>
                </a:bgClr>
              </a:pattFill>
              <a:ln w="15875">
                <a:solidFill>
                  <a:schemeClr val="bg1">
                    <a:alpha val="86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3-3695-49DC-A10A-10E4AD2C7250}"/>
              </c:ext>
            </c:extLst>
          </c:dPt>
          <c:dPt>
            <c:idx val="2"/>
            <c:bubble3D val="0"/>
            <c:spPr>
              <a:solidFill>
                <a:schemeClr val="accent3"/>
              </a:solidFill>
              <a:ln>
                <a:solidFill>
                  <a:schemeClr val="bg1">
                    <a:alpha val="86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5-3695-49DC-A10A-10E4AD2C7250}"/>
              </c:ext>
            </c:extLst>
          </c:dPt>
          <c:dLbls>
            <c:dLbl>
              <c:idx val="0"/>
              <c:layout>
                <c:manualLayout>
                  <c:x val="7.4736439195100618E-2"/>
                  <c:y val="-6.4114537766112575E-2"/>
                </c:manualLayout>
              </c:layout>
              <c:dLblPos val="bestFi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695-49DC-A10A-10E4AD2C7250}"/>
                </c:ext>
              </c:extLst>
            </c:dLbl>
            <c:dLbl>
              <c:idx val="1"/>
              <c:layout>
                <c:manualLayout>
                  <c:x val="-0.10370275590551178"/>
                  <c:y val="-0.15810731991834354"/>
                </c:manualLayout>
              </c:layout>
              <c:dLblPos val="bestFi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695-49DC-A10A-10E4AD2C7250}"/>
                </c:ext>
              </c:extLst>
            </c:dLbl>
            <c:dLbl>
              <c:idx val="2"/>
              <c:layout>
                <c:manualLayout>
                  <c:x val="-4.3763560804899411E-2"/>
                  <c:y val="4.5427967337416116E-2"/>
                </c:manualLayout>
              </c:layou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695-49DC-A10A-10E4AD2C7250}"/>
                </c:ext>
              </c:extLst>
            </c:dLbl>
            <c:dLbl>
              <c:idx val="3"/>
              <c:layout>
                <c:manualLayout>
                  <c:x val="-9.143569553805779E-2"/>
                  <c:y val="3.5446923301254013E-2"/>
                </c:manualLayout>
              </c:layou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3695-49DC-A10A-10E4AD2C7250}"/>
                </c:ext>
              </c:extLst>
            </c:dLbl>
            <c:dLbl>
              <c:idx val="4"/>
              <c:layout>
                <c:manualLayout>
                  <c:x val="-9.2298993875765525E-2"/>
                  <c:y val="-1.367490522018081E-2"/>
                </c:manualLayout>
              </c:layou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695-49DC-A10A-10E4AD2C7250}"/>
                </c:ext>
              </c:extLst>
            </c:dLbl>
            <c:spPr>
              <a:noFill/>
              <a:ln>
                <a:solidFill>
                  <a:schemeClr val="accent1"/>
                </a:solidFill>
              </a:ln>
              <a:effectLst/>
            </c:spPr>
            <c:txPr>
              <a:bodyPr rot="0" vert="horz"/>
              <a:lstStyle/>
              <a:p>
                <a:pPr>
                  <a:defRPr/>
                </a:pPr>
                <a:endParaRPr lang="es-MX"/>
              </a:p>
            </c:txPr>
            <c:showLegendKey val="1"/>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[1]Hoja2!$M$42:$M$44</c:f>
              <c:strCache>
                <c:ptCount val="3"/>
                <c:pt idx="0">
                  <c:v>3D</c:v>
                </c:pt>
                <c:pt idx="1">
                  <c:v>Madera</c:v>
                </c:pt>
                <c:pt idx="2">
                  <c:v>Plástico</c:v>
                </c:pt>
              </c:strCache>
            </c:strRef>
          </c:cat>
          <c:val>
            <c:numRef>
              <c:f>[1]Hoja2!$N$42:$N$44</c:f>
              <c:numCache>
                <c:formatCode>General</c:formatCode>
                <c:ptCount val="3"/>
                <c:pt idx="0">
                  <c:v>6</c:v>
                </c:pt>
                <c:pt idx="1">
                  <c:v>3</c:v>
                </c:pt>
                <c:pt idx="2">
                  <c:v>2</c:v>
                </c:pt>
              </c:numCache>
            </c:numRef>
          </c:val>
          <c:extLst>
            <c:ext xmlns:c16="http://schemas.microsoft.com/office/drawing/2014/chart" uri="{C3380CC4-5D6E-409C-BE32-E72D297353CC}">
              <c16:uniqueId val="{00000008-3695-49DC-A10A-10E4AD2C7250}"/>
            </c:ext>
          </c:extLst>
        </c:ser>
        <c:dLbls>
          <c:dLblPos val="inEnd"/>
          <c:showLegendKey val="0"/>
          <c:showVal val="0"/>
          <c:showCatName val="0"/>
          <c:showSerName val="0"/>
          <c:showPercent val="1"/>
          <c:showBubbleSize val="0"/>
          <c:showLeaderLines val="1"/>
        </c:dLbls>
        <c:firstSliceAng val="0"/>
      </c:pieChart>
    </c:plotArea>
    <c:legend>
      <c:legendPos val="b"/>
      <c:overlay val="0"/>
      <c:spPr>
        <a:solidFill>
          <a:schemeClr val="lt1">
            <a:alpha val="78000"/>
          </a:schemeClr>
        </a:solidFill>
        <a:ln>
          <a:noFill/>
        </a:ln>
        <a:effectLst/>
      </c:spPr>
      <c:txPr>
        <a:bodyPr rot="0" vert="horz"/>
        <a:lstStyle/>
        <a:p>
          <a:pPr>
            <a:defRPr/>
          </a:pPr>
          <a:endParaRPr lang="es-MX"/>
        </a:p>
      </c:txPr>
    </c:legend>
    <c:plotVisOnly val="1"/>
    <c:dispBlanksAs val="gap"/>
    <c:showDLblsOverMax val="0"/>
  </c:chart>
  <c:spPr>
    <a:noFill/>
    <a:ln w="9525" cap="flat" cmpd="sng" algn="ctr">
      <a:noFill/>
      <a:round/>
    </a:ln>
    <a:effectLst/>
  </c:spPr>
  <c:txPr>
    <a:bodyPr/>
    <a:lstStyle/>
    <a:p>
      <a:pPr>
        <a:defRPr sz="1500"/>
      </a:pPr>
      <a:endParaRPr lang="es-MX"/>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24</xdr:col>
      <xdr:colOff>893836</xdr:colOff>
      <xdr:row>32</xdr:row>
      <xdr:rowOff>147966</xdr:rowOff>
    </xdr:from>
    <xdr:to>
      <xdr:col>33</xdr:col>
      <xdr:colOff>8282</xdr:colOff>
      <xdr:row>56</xdr:row>
      <xdr:rowOff>57978</xdr:rowOff>
    </xdr:to>
    <xdr:graphicFrame macro="">
      <xdr:nvGraphicFramePr>
        <xdr:cNvPr id="3" name="Gráfico 2">
          <a:extLst>
            <a:ext uri="{FF2B5EF4-FFF2-40B4-BE49-F238E27FC236}">
              <a16:creationId xmlns:a16="http://schemas.microsoft.com/office/drawing/2014/main" id="{D5F664CA-E428-172D-A8FB-DE5E60D050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352425</xdr:colOff>
      <xdr:row>0</xdr:row>
      <xdr:rowOff>109537</xdr:rowOff>
    </xdr:from>
    <xdr:to>
      <xdr:col>21</xdr:col>
      <xdr:colOff>733425</xdr:colOff>
      <xdr:row>15</xdr:row>
      <xdr:rowOff>0</xdr:rowOff>
    </xdr:to>
    <xdr:graphicFrame macro="">
      <xdr:nvGraphicFramePr>
        <xdr:cNvPr id="2" name="Gráfico 1">
          <a:extLst>
            <a:ext uri="{FF2B5EF4-FFF2-40B4-BE49-F238E27FC236}">
              <a16:creationId xmlns:a16="http://schemas.microsoft.com/office/drawing/2014/main" id="{0F31BC35-B60F-4D46-96F7-FFDF6B7426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272582</xdr:colOff>
      <xdr:row>1</xdr:row>
      <xdr:rowOff>28855</xdr:rowOff>
    </xdr:from>
    <xdr:to>
      <xdr:col>29</xdr:col>
      <xdr:colOff>272582</xdr:colOff>
      <xdr:row>15</xdr:row>
      <xdr:rowOff>105055</xdr:rowOff>
    </xdr:to>
    <xdr:graphicFrame macro="">
      <xdr:nvGraphicFramePr>
        <xdr:cNvPr id="3" name="Gráfico 2">
          <a:extLst>
            <a:ext uri="{FF2B5EF4-FFF2-40B4-BE49-F238E27FC236}">
              <a16:creationId xmlns:a16="http://schemas.microsoft.com/office/drawing/2014/main" id="{EA194DB3-2041-498A-B5F5-494A7EE39E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723899</xdr:colOff>
      <xdr:row>18</xdr:row>
      <xdr:rowOff>52386</xdr:rowOff>
    </xdr:from>
    <xdr:to>
      <xdr:col>23</xdr:col>
      <xdr:colOff>695324</xdr:colOff>
      <xdr:row>35</xdr:row>
      <xdr:rowOff>85725</xdr:rowOff>
    </xdr:to>
    <xdr:graphicFrame macro="">
      <xdr:nvGraphicFramePr>
        <xdr:cNvPr id="4" name="Gráfico 3">
          <a:extLst>
            <a:ext uri="{FF2B5EF4-FFF2-40B4-BE49-F238E27FC236}">
              <a16:creationId xmlns:a16="http://schemas.microsoft.com/office/drawing/2014/main" id="{51BA880C-61AD-4213-B4FE-13146EBA46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581025</xdr:colOff>
      <xdr:row>19</xdr:row>
      <xdr:rowOff>80962</xdr:rowOff>
    </xdr:from>
    <xdr:to>
      <xdr:col>30</xdr:col>
      <xdr:colOff>581025</xdr:colOff>
      <xdr:row>33</xdr:row>
      <xdr:rowOff>157162</xdr:rowOff>
    </xdr:to>
    <xdr:graphicFrame macro="">
      <xdr:nvGraphicFramePr>
        <xdr:cNvPr id="5" name="Gráfico 4">
          <a:extLst>
            <a:ext uri="{FF2B5EF4-FFF2-40B4-BE49-F238E27FC236}">
              <a16:creationId xmlns:a16="http://schemas.microsoft.com/office/drawing/2014/main" id="{33DCD4A5-0952-4B55-B966-1EEC7E43E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500062</xdr:colOff>
      <xdr:row>39</xdr:row>
      <xdr:rowOff>185737</xdr:rowOff>
    </xdr:from>
    <xdr:to>
      <xdr:col>32</xdr:col>
      <xdr:colOff>500062</xdr:colOff>
      <xdr:row>54</xdr:row>
      <xdr:rowOff>71437</xdr:rowOff>
    </xdr:to>
    <xdr:graphicFrame macro="">
      <xdr:nvGraphicFramePr>
        <xdr:cNvPr id="6" name="Gráfico 5">
          <a:extLst>
            <a:ext uri="{FF2B5EF4-FFF2-40B4-BE49-F238E27FC236}">
              <a16:creationId xmlns:a16="http://schemas.microsoft.com/office/drawing/2014/main" id="{55E08CE0-FF22-442A-AB38-A5C3347F0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557212</xdr:colOff>
      <xdr:row>39</xdr:row>
      <xdr:rowOff>119062</xdr:rowOff>
    </xdr:from>
    <xdr:to>
      <xdr:col>23</xdr:col>
      <xdr:colOff>557212</xdr:colOff>
      <xdr:row>54</xdr:row>
      <xdr:rowOff>4762</xdr:rowOff>
    </xdr:to>
    <xdr:graphicFrame macro="">
      <xdr:nvGraphicFramePr>
        <xdr:cNvPr id="7" name="Gráfico 6">
          <a:extLst>
            <a:ext uri="{FF2B5EF4-FFF2-40B4-BE49-F238E27FC236}">
              <a16:creationId xmlns:a16="http://schemas.microsoft.com/office/drawing/2014/main" id="{613E7E0F-BE9D-4BE4-ACFD-FA10119004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be774611e3f780df/Documentos/lineamientos.xlsx" TargetMode="External"/><Relationship Id="rId1" Type="http://schemas.openxmlformats.org/officeDocument/2006/relationships/externalLinkPath" Target="lineamiento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ja1"/>
      <sheetName val="Hoja2"/>
    </sheetNames>
    <sheetDataSet>
      <sheetData sheetId="0"/>
      <sheetData sheetId="1">
        <row r="4">
          <cell r="M4" t="str">
            <v>App móvil</v>
          </cell>
          <cell r="N4">
            <v>16</v>
          </cell>
        </row>
        <row r="5">
          <cell r="M5" t="str">
            <v>App web</v>
          </cell>
          <cell r="N5">
            <v>7</v>
          </cell>
        </row>
        <row r="6">
          <cell r="M6" t="str">
            <v>Embebida</v>
          </cell>
          <cell r="N6">
            <v>5</v>
          </cell>
        </row>
        <row r="12">
          <cell r="M12" t="str">
            <v>Nube</v>
          </cell>
          <cell r="N12">
            <v>13</v>
          </cell>
        </row>
        <row r="13">
          <cell r="M13" t="str">
            <v>Borde</v>
          </cell>
          <cell r="N13">
            <v>9</v>
          </cell>
        </row>
        <row r="22">
          <cell r="M22" t="str">
            <v>App móvil</v>
          </cell>
          <cell r="N22">
            <v>7</v>
          </cell>
        </row>
        <row r="23">
          <cell r="M23" t="str">
            <v>SMS</v>
          </cell>
          <cell r="N23">
            <v>7</v>
          </cell>
        </row>
        <row r="24">
          <cell r="M24" t="str">
            <v>Correo</v>
          </cell>
          <cell r="N24">
            <v>2</v>
          </cell>
        </row>
        <row r="25">
          <cell r="M25" t="str">
            <v>IFFT</v>
          </cell>
          <cell r="N25">
            <v>1</v>
          </cell>
        </row>
        <row r="26">
          <cell r="M26" t="str">
            <v>Alertas emergentes</v>
          </cell>
          <cell r="N26">
            <v>1</v>
          </cell>
        </row>
        <row r="30">
          <cell r="M30" t="str">
            <v>Sólidos</v>
          </cell>
          <cell r="N30">
            <v>12</v>
          </cell>
        </row>
        <row r="31">
          <cell r="M31" t="str">
            <v>Líquidos</v>
          </cell>
          <cell r="N31">
            <v>2</v>
          </cell>
        </row>
        <row r="36">
          <cell r="M36" t="str">
            <v>Zumbador</v>
          </cell>
          <cell r="N36">
            <v>13</v>
          </cell>
        </row>
        <row r="37">
          <cell r="M37" t="str">
            <v>Altavoz</v>
          </cell>
          <cell r="N37">
            <v>4</v>
          </cell>
        </row>
        <row r="42">
          <cell r="M42" t="str">
            <v>3D</v>
          </cell>
          <cell r="N42">
            <v>6</v>
          </cell>
        </row>
        <row r="43">
          <cell r="M43" t="str">
            <v>Madera</v>
          </cell>
          <cell r="N43">
            <v>3</v>
          </cell>
        </row>
        <row r="44">
          <cell r="M44" t="str">
            <v>Plástico</v>
          </cell>
          <cell r="N44">
            <v>2</v>
          </cell>
        </row>
      </sheetData>
    </sheetDataSet>
  </externalBook>
</externalLink>
</file>

<file path=xl/persons/person.xml><?xml version="1.0" encoding="utf-8"?>
<personList xmlns="http://schemas.microsoft.com/office/spreadsheetml/2018/threadedcomments" xmlns:x="http://schemas.openxmlformats.org/spreadsheetml/2006/main">
  <person displayName="jairo angulo" id="{ADD07FEE-0709-47F9-ADD3-5E16AA0B8FF7}" userId="be774611e3f780df" providerId="Windows Live"/>
</personList>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5" dT="2024-06-06T06:57:00.89" personId="{ADD07FEE-0709-47F9-ADD3-5E16AA0B8FF7}" id="{5B89B7EB-DB63-459B-AD3C-45B79E8EE573}">
    <text>Todo el flujo se realiza en el dispositivo</text>
  </threadedComment>
  <threadedComment ref="S5" dT="2024-06-18T12:13:00.13" personId="{ADD07FEE-0709-47F9-ADD3-5E16AA0B8FF7}" id="{AABBF094-5ADC-43AE-9425-82D7C8A85E8D}">
    <text xml:space="preserve">La configuración del dispositivo y los datos se guardan en una tarjeta SD utilizando un módulo de tarjeta SD </text>
  </threadedComment>
  <threadedComment ref="X5" dT="2024-06-19T13:17:23.62" personId="{ADD07FEE-0709-47F9-ADD3-5E16AA0B8FF7}" id="{7449DC92-876A-404F-BDCC-58475FDF984A}">
    <text>Interfaz web</text>
  </threadedComment>
  <threadedComment ref="I6" dT="2024-05-08T08:36:08.65" personId="{ADD07FEE-0709-47F9-ADD3-5E16AA0B8FF7}" id="{9553ABA5-5240-4F20-B38C-E9557A9999DD}">
    <text xml:space="preserve">El dispositivo se comunica con el servidor a través de Wi-Fi y un módulo ESP8266. </text>
  </threadedComment>
  <threadedComment ref="K6" dT="2024-06-19T16:14:33.25" personId="{ADD07FEE-0709-47F9-ADD3-5E16AA0B8FF7}" id="{63C65421-F66C-4D8C-8781-7841CD7C8541}">
    <text xml:space="preserve">La comunicación entre dispositivos se realiza utilizando GSM SIM900A para enviar mensajes al paciente y otros módulos de comunicación integrados con los microcontroladores </text>
  </threadedComment>
  <threadedComment ref="O6" dT="2024-05-19T05:12:42.03" personId="{ADD07FEE-0709-47F9-ADD3-5E16AA0B8FF7}" id="{1365E55E-7EA8-429E-8581-7B0A0170105E}">
    <text xml:space="preserve">Comunicación remota a través de un chip Wi-Fi integrado en la placa inteligente Photon Particle .
</text>
  </threadedComment>
  <threadedComment ref="S6" dT="2024-06-18T12:15:08.87" personId="{ADD07FEE-0709-47F9-ADD3-5E16AA0B8FF7}" id="{ED5750AD-BD4C-4CA5-9F5C-8A45B950879B}">
    <text xml:space="preserve">se realiza mediante el protocolo de interfaz de periféricos en serie (SPI) para la lectura y escritura de datos en la tarjeta SD </text>
  </threadedComment>
  <threadedComment ref="U6" dT="2024-05-25T06:33:44.54" personId="{ADD07FEE-0709-47F9-ADD3-5E16AA0B8FF7}" id="{C45943B3-61A3-4322-9105-E4DF0DAED71F}">
    <text xml:space="preserve">La comunicación entre dispositivos se facilita mediante el uso de Google Assistant y una aplicación web. </text>
  </threadedComment>
  <threadedComment ref="V6" dT="2024-05-25T07:32:57.35" personId="{ADD07FEE-0709-47F9-ADD3-5E16AA0B8FF7}" id="{29501BDA-A604-4C6B-AB82-789353FA7A2C}">
    <text xml:space="preserve">El ESP32 se comunica bidireccionalmente con el teléfono móvil a través del módulo Wi-Fi </text>
  </threadedComment>
  <threadedComment ref="W6" dT="2024-05-25T09:47:16.23" personId="{ADD07FEE-0709-47F9-ADD3-5E16AA0B8FF7}" id="{128D7DC3-541B-4D76-AE07-5CF2718B7435}">
    <text xml:space="preserve">La comunicación se realiza a través del módulo Wi-Fi ESP8266 y la plataforma Blynk​ </text>
  </threadedComment>
  <threadedComment ref="X6" dT="2024-05-25T10:18:13.65" personId="{ADD07FEE-0709-47F9-ADD3-5E16AA0B8FF7}" id="{C88E036B-4851-4B22-B813-3C5A543488FA}">
    <text>Se utiliza comunicación en serie y el microcontrolador ESP8266 permite la comunicación y el control remoto a través de Internet.</text>
  </threadedComment>
  <threadedComment ref="AB6" dT="2024-05-26T07:08:38.76" personId="{ADD07FEE-0709-47F9-ADD3-5E16AA0B8FF7}" id="{8E1F0734-8CEA-4D87-A0F8-F2E8375E1CDC}">
    <text xml:space="preserve">Los dispositivos se comunican a través de conexiones Bluetooth y Wi-Fi, permitiendo la interacción con la aplicación móvil y la plataforma en la nub </text>
  </threadedComment>
  <threadedComment ref="Y7" dT="2024-06-19T13:44:36.29" personId="{ADD07FEE-0709-47F9-ADD3-5E16AA0B8FF7}" id="{D1D7AA1A-2FBB-4856-BB89-97C832535B85}">
    <text xml:space="preserve">El dispensador reproduce un mensaje de voz cuando se libera la píldora para avisar al paciente </text>
  </threadedComment>
  <threadedComment ref="V8" dT="2024-06-18T22:29:58.42" personId="{ADD07FEE-0709-47F9-ADD3-5E16AA0B8FF7}" id="{3D33F6A8-B063-436A-95FA-D8DD68CA1E35}">
    <text xml:space="preserve">El LED cambia de color cada 30 minutos para recordar a los usuarios sobre la hora de tomar sus medicinas </text>
  </threadedComment>
  <threadedComment ref="H9" dT="2024-06-17T02:37:53.13" personId="{ADD07FEE-0709-47F9-ADD3-5E16AA0B8FF7}" id="{42A41DD6-6134-495A-8346-E5274669378F}">
    <text>Mensajes SMS enviados después de la hora programada para recordar al usuario que está retrasado en tomar su medicación</text>
  </threadedComment>
  <threadedComment ref="M9" dT="2024-06-18T06:50:06.76" personId="{ADD07FEE-0709-47F9-ADD3-5E16AA0B8FF7}" id="{92DD069A-38BC-49BB-AF8A-0837E0880D63}">
    <text xml:space="preserve">la alerta sonará en tres intervalos de 10 minutos cada uno durante un período total de 30 minutos. 
La alerta se activa tres veces dentro de un intervalo de 30 minutos.
Cada una de estas tres alertas dura aproximadamente 1 minuto.
</text>
  </threadedComment>
  <threadedComment ref="S9" dT="2024-06-18T12:16:07.63" personId="{ADD07FEE-0709-47F9-ADD3-5E16AA0B8FF7}" id="{6FB96442-A9BC-4C9E-8A61-D5C8F79B8B54}">
    <text xml:space="preserve">Si el usuario no toma el medicamento tras la primera alerta, se emite una segunda alerta 10 minutos después usando el módulo MP3. Si el medicamento no se toma después de esta segunda alerta, se notifica al cuidador o guardián mediante un mensaje . </text>
  </threadedComment>
  <threadedComment ref="V9" dT="2024-06-18T22:30:25.62" personId="{ADD07FEE-0709-47F9-ADD3-5E16AA0B8FF7}" id="{3707C3A8-B2CF-453E-AED7-B952FB7BFD9E}">
    <text xml:space="preserve">Si no se toma acción en más de 90 minutos, se envía una alerta al usuario para recordar al paciente </text>
  </threadedComment>
  <threadedComment ref="Y9" dT="2024-06-19T13:36:14.60" personId="{ADD07FEE-0709-47F9-ADD3-5E16AA0B8FF7}" id="{42161452-676A-4C99-892C-888CC7550B3B}">
    <text xml:space="preserve">Si el paciente no toma la píldora en un tiempo determinado, el dispensador alerta al tutor con un correo electrónico </text>
  </threadedComment>
  <threadedComment ref="R10" dT="2024-05-20T07:02:29.34" personId="{ADD07FEE-0709-47F9-ADD3-5E16AA0B8FF7}" id="{ABE2747C-6F6C-4DC0-975A-E371D42D6AA6}">
    <text xml:space="preserve">Diez minutos antes de la toma programada, se envía una notificación al teléfono móvil del paciente para notificarle de su toma </text>
  </threadedComment>
  <threadedComment ref="X10" dT="2024-05-25T10:31:45.56" personId="{ADD07FEE-0709-47F9-ADD3-5E16AA0B8FF7}" id="{7EE0FE35-967C-4017-9E0E-BCF537D90450}">
    <text>Las notificaciones se envían a través de plataformas como IFTTT para integrarse con Google Sheets y otras aplicaciones</text>
  </threadedComment>
  <threadedComment ref="I11" dT="2024-05-08T08:28:53.67" personId="{ADD07FEE-0709-47F9-ADD3-5E16AA0B8FF7}" id="{2ECCE326-A28B-4D55-A633-B57F35FA3AEB}">
    <text xml:space="preserve">ESP8266 </text>
  </threadedComment>
  <threadedComment ref="V11" dT="2024-05-25T07:33:59.59" personId="{ADD07FEE-0709-47F9-ADD3-5E16AA0B8FF7}" id="{BDA959FB-7877-489A-B54F-8830847FB0D3}">
    <text xml:space="preserve">Los datos se almacenan y procesan en Firebase, actuando como la base de datos intermedia. </text>
  </threadedComment>
  <threadedComment ref="R12" dT="2024-05-20T06:59:17.37" personId="{ADD07FEE-0709-47F9-ADD3-5E16AA0B8FF7}" id="{6976B899-6410-4A8F-978A-9895B5A44C38}">
    <text>Una pantalla LCD 20x4 muestra mensajes preprogramados para el usuario</text>
  </threadedComment>
  <threadedComment ref="W12" dT="2024-05-25T09:33:05.47" personId="{ADD07FEE-0709-47F9-ADD3-5E16AA0B8FF7}" id="{BC375159-03E6-4F6B-8D9D-9182F78A7147}">
    <text xml:space="preserve">Se utiliza un módulo LCD de 16x2 para mostrar notificaciones, fecha y hora, interfiriendo con el sistema de alarma. </text>
  </threadedComment>
  <threadedComment ref="M13" dT="2024-05-13T00:58:58.82" personId="{ADD07FEE-0709-47F9-ADD3-5E16AA0B8FF7}" id="{B762E9CD-BA76-430B-BC49-558B1356294F}">
    <text xml:space="preserve">Los compartimentos de la caja de pastillas están rodeados de tiras LED que se iluminan cuando es hora de tomar el medicamento, proporcionando una alerta visual al usuario. </text>
  </threadedComment>
  <threadedComment ref="V13" dT="2024-05-25T07:13:48.35" personId="{ADD07FEE-0709-47F9-ADD3-5E16AA0B8FF7}" id="{51745829-8BDE-4F5D-879D-448C16C83200}">
    <text>LED strip sk6812</text>
  </threadedComment>
  <threadedComment ref="AE13" dT="2024-05-26T07:49:55.40" personId="{ADD07FEE-0709-47F9-ADD3-5E16AA0B8FF7}" id="{84950D90-E0B3-4709-A8D3-F6A6FDCF96CB}">
    <text xml:space="preserve">El sistema utiliza varios LEDs (rojo, azul, verde, amarillo) como alarmas visuales para indicar diferentes estados o recordatorios para la toma de pastillas </text>
  </threadedComment>
  <threadedComment ref="D14" dT="2024-06-11T07:53:47.31" personId="{ADD07FEE-0709-47F9-ADD3-5E16AA0B8FF7}" id="{66FAD66F-0F49-4463-9F62-AAF3ECF0EFDD}">
    <text xml:space="preserve">Utiliza una placa de relés y motores de corriente continua (DC) para dispensar medicación desde bandejas en momentos específicos </text>
  </threadedComment>
  <threadedComment ref="H14" dT="2024-06-17T04:03:54.42" personId="{ADD07FEE-0709-47F9-ADD3-5E16AA0B8FF7}" id="{4B96FBBC-AEF6-427F-A643-015E39E278D2}">
    <text xml:space="preserve">Utiliza un sistema de discos rotatorios y sensores infrarrojos para aislar y dispensar una sola pastilla a la vez, asegurando una dispensación precisa​ </text>
  </threadedComment>
  <threadedComment ref="M14" dT="2024-05-13T04:10:38.54" personId="{ADD07FEE-0709-47F9-ADD3-5E16AA0B8FF7}" id="{35D19F6D-865C-4094-A54A-073A77D2DACB}">
    <text xml:space="preserve">Están diseñados para detectar la apertura o el cierre de cada compartimento del dispensador, basándose en la variación de la capacidad eléctrica que se produce cuando un objeto interactúa con el campo electrostático del sensor. Esta variación en la capacidad es detectada por un circuito oscilador integrado, que responde al cambio aumentando la amplitud de la oscilación, lo cual cambia el estado del sensor. Esto permite verificar de manera precisa si el medicamento ha sido tomado o no, garantizando así la correcta administración de las dosis. </text>
  </threadedComment>
  <threadedComment ref="S14" dT="2024-05-20T20:53:35.34" personId="{ADD07FEE-0709-47F9-ADD3-5E16AA0B8FF7}" id="{99378573-D9C0-4749-A254-AE89BABF490A}">
    <text xml:space="preserve">Dispensa la medicación utilizando un motor servo que controla la apertura exacta para la cantidad de medicación. 
utiliza un servomotor SG-90 para sujetar y liberar el medicamento del cartucho, asegurando una dispensación precisa </text>
  </threadedComment>
  <threadedComment ref="V14" dT="2024-05-25T07:19:46.07" personId="{ADD07FEE-0709-47F9-ADD3-5E16AA0B8FF7}" id="{606914D8-54A1-4FB1-AFA8-5BCF680614AC}">
    <text xml:space="preserve">El motor paso a paso está conectado a un controlador de motor y todos los componentes están alimentados por una fuente común desde el puerto de +5V en la placa ESP32. </text>
  </threadedComment>
  <threadedComment ref="AB14" dT="2024-05-26T07:12:28.91" personId="{ADD07FEE-0709-47F9-ADD3-5E16AA0B8FF7}" id="{BC5AA2A1-7E2D-4972-958C-D2982077CDD5}">
    <text xml:space="preserve">Motores Servo MG995 </text>
  </threadedComment>
  <threadedComment ref="AC14" dT="2024-06-19T15:00:35.71" personId="{ADD07FEE-0709-47F9-ADD3-5E16AA0B8FF7}" id="{DE60A27F-AA80-4C2A-9630-14C70523018F}">
    <text xml:space="preserve">El dispensador utiliza un sensor ultrasónico para dispensar las pastillas de manera precisa al paciente </text>
  </threadedComment>
  <threadedComment ref="D15" dT="2024-06-04T03:56:02.59" personId="{ADD07FEE-0709-47F9-ADD3-5E16AA0B8FF7}" id="{D68D13EA-1D96-44E0-A12E-2F6D7D246A8B}">
    <text xml:space="preserve">"El doctor decidirá si el paciente debe continuar con la misma dosis de medicamento o con un nuevo conjunto. Una vez que el doctor decide, actualiza la tabla. Esta actualización se refleja en la base de datos en la nube, que luego se actualiza en la interfaz del paciente y la farmacia </text>
  </threadedComment>
  <threadedComment ref="E15" dT="2024-06-11T19:39:00.91" personId="{ADD07FEE-0709-47F9-ADD3-5E16AA0B8FF7}" id="{D4D90E8E-E18B-44D4-9D3E-FBB7481B66C4}">
    <text xml:space="preserve">El administrador (admin) es el encargado de programar las dosis y los tiempos en el sistema </text>
  </threadedComment>
  <threadedComment ref="F15" dT="2024-06-16T00:08:55.23" personId="{ADD07FEE-0709-47F9-ADD3-5E16AA0B8FF7}" id="{AD1D675D-C993-46DE-AA0C-2F0D3E112FA6}">
    <text xml:space="preserve">La pantalla LCD se coloca en el exterior del dispensador para que el usuario ajuste el tiempo de medicación </text>
  </threadedComment>
  <threadedComment ref="G15" dT="2024-06-16T00:21:36.72" personId="{ADD07FEE-0709-47F9-ADD3-5E16AA0B8FF7}" id="{235D3FB0-7F31-4404-9F5E-7DCDD128E0BC}">
    <text xml:space="preserve">El paciente o el cuidador programa la dosis y el horario mediante un teclado en el dispositivo </text>
  </threadedComment>
  <threadedComment ref="J15" dT="2024-05-08T09:34:21.08" personId="{ADD07FEE-0709-47F9-ADD3-5E16AA0B8FF7}" id="{D4E9FAB2-E779-433F-90F6-E84BA34192B2}">
    <text xml:space="preserve">El dispensador está programado para distribuir la cantidad exacta de medicamentos según el horario configurado en la aplicación web </text>
  </threadedComment>
  <threadedComment ref="K15" dT="2024-06-18T00:51:52.10" personId="{ADD07FEE-0709-47F9-ADD3-5E16AA0B8FF7}" id="{FFAAF698-55FA-4FE0-A8D3-8EDE65812EC9}">
    <text xml:space="preserve">El sistema utiliza la computadora para programar y administrar las dosis basándose en los datos del paciente obtenidos a través de los sensores. La computadora diagnostica al paciente y determina la dosis adecuada </text>
  </threadedComment>
  <threadedComment ref="M15" dT="2024-06-18T03:22:39.09" personId="{ADD07FEE-0709-47F9-ADD3-5E16AA0B8FF7}" id="{E17FD593-1F19-4E5B-963C-39BE6F7042A3}">
    <text xml:space="preserve">La programación de la hora y la frecuencia de la medicación se realiza a través de la interfaz de usuario en la aplicació </text>
  </threadedComment>
  <threadedComment ref="N15" dT="2024-05-15T05:11:20.81" personId="{ADD07FEE-0709-47F9-ADD3-5E16AA0B8FF7}" id="{D5F0585E-FA08-4CED-B935-BCA9B01BE7C9}">
    <text xml:space="preserve">Incluye un método preciso de calibración (en miligramos) para controlar situaciones de sobredosis y subdosis utilizando una celda de carga. </text>
  </threadedComment>
  <threadedComment ref="O15" dT="2024-06-18T09:55:43.87" personId="{ADD07FEE-0709-47F9-ADD3-5E16AA0B8FF7}" id="{ECC97A4C-6FFD-4C29-BAC4-E2A540C3E0EF}">
    <text xml:space="preserve">La programación de dosis es manejada por el controlador de medicación inteligente basado en análisis de expertos y algoritmos de lógica difusa . </text>
  </threadedComment>
  <threadedComment ref="P15" dT="2024-06-18T10:08:06.50" personId="{ADD07FEE-0709-47F9-ADD3-5E16AA0B8FF7}" id="{7C77649E-0C01-4BB6-9562-1F1560CAF295}">
    <text xml:space="preserve">La programación de las dosis y horarios se realiza mediante la aplicación móvil, permitiendo la reprogramación y gestión de las dosis </text>
  </threadedComment>
  <threadedComment ref="Q15" dT="2024-06-18T10:49:47.35" personId="{ADD07FEE-0709-47F9-ADD3-5E16AA0B8FF7}" id="{F345E911-4A1A-43BA-842E-68FF5BD4903A}">
    <text xml:space="preserve">La programación de dosis puede ser configurada por enfermeras o usuarios a través de la interfaz de usuario de la aplicación </text>
  </threadedComment>
  <threadedComment ref="R15" dT="2024-05-20T07:33:54.27" personId="{ADD07FEE-0709-47F9-ADD3-5E16AA0B8FF7}" id="{C1A0CDB9-C0DC-4E6C-8022-0AD870EF3B80}">
    <text>El farmacéutico es responsable de programar y llenar el dispensador de pastillas utilizando la aplicación móvil 
El dispensador de pastillas cuenta con un mecanismo de bloqueo para asegurar el control de la dosis de medicación y prevenir el abuso</text>
  </threadedComment>
  <threadedComment ref="S15" dT="2024-05-20T20:53:10.68" personId="{ADD07FEE-0709-47F9-ADD3-5E16AA0B8FF7}" id="{AB52D5FA-7B8D-45A5-8136-F1AB263C0729}">
    <text xml:space="preserve">Los médicos o los usuarios pueden pre-cargar las dosis de medicamentos en el dispositivo y programar los tiempos de dosis usando un codificador rotativo, que actúa como un botón de pulsación para seleccionar opciones y establecer el tiempo fácilmente 
La máquina puede manejar múltiples dosis y tipos de medicamentos, controladas por la aplicación y el sistema de archivos CSV </text>
  </threadedComment>
  <threadedComment ref="T15" dT="2024-05-25T05:30:01.57" personId="{ADD07FEE-0709-47F9-ADD3-5E16AA0B8FF7}" id="{10EFA202-7CF8-4310-846A-75F0921F4CFD}">
    <text xml:space="preserve">El sistema rastrea si los usuarios han tomado sus medicamentos y envía esta información al servidor en la nube, mostrando "sí" o "no" en la aplicación móvi </text>
  </threadedComment>
  <threadedComment ref="U15" dT="2024-06-18T15:03:04.95" personId="{ADD07FEE-0709-47F9-ADD3-5E16AA0B8FF7}" id="{AEBFAA30-534E-4AE3-BC3C-25D4C4218ACC}">
    <text xml:space="preserve">la cantidad de jarabe a dispensar se puede modificar en el programa según las necesidades específicas </text>
  </threadedComment>
  <threadedComment ref="V15" dT="2024-05-25T07:21:43.94" personId="{ADD07FEE-0709-47F9-ADD3-5E16AA0B8FF7}" id="{2961009F-C8CD-4B70-978F-40985F9D4020}">
    <text xml:space="preserve">El usuario programa las dosis y los horarios a través de la aplicación móvil 
La aplicación móvil permite a los usuarios gestionar y crear el horario de las pastillas. Una vez que la hora actual coincide con la hora preestablecida, el dispensador alerta a los usuarios mediante una tira de LED y un zumbador </text>
  </threadedComment>
  <threadedComment ref="W15" dT="2024-06-19T03:56:51.43" personId="{ADD07FEE-0709-47F9-ADD3-5E16AA0B8FF7}" id="{114820AB-B0A2-4F7E-9241-7C684B9C06F4}">
    <text xml:space="preserve">La programación de la dosis se realiza a través de la aplicación Blynk utilizando el módulo de reloj en tiempo real (RTC) </text>
  </threadedComment>
  <threadedComment ref="X15" dT="2024-06-19T13:21:44.73" personId="{ADD07FEE-0709-47F9-ADD3-5E16AA0B8FF7}" id="{432D8DA5-4399-46AC-9A72-EA024DAF09D4}">
    <text xml:space="preserve">La programación y monitoreo de las dosis se realizan a través de una plataforma web que facilita el acceso y la gestión remota </text>
  </threadedComment>
  <threadedComment ref="Y15" dT="2024-06-19T13:39:21.94" personId="{ADD07FEE-0709-47F9-ADD3-5E16AA0B8FF7}" id="{8834DCDB-A655-4398-8A25-695FFEF874DD}">
    <text xml:space="preserve">El cuidador puede configurar la programación de la terapia de medicamentos mediante la aplicación móvi </text>
  </threadedComment>
  <threadedComment ref="Z15" dT="2024-05-26T03:42:06.56" personId="{ADD07FEE-0709-47F9-ADD3-5E16AA0B8FF7}" id="{AB5F157C-99AD-41FD-87A8-EEE1BD250421}">
    <text>La programación se puede hacer tanto desde la aplicación móvil como desde las teclas del dispositivo 
El sistema está diseñado para dispensar automáticamente las píldoras en la dosis correcta a intervalos específicos.</text>
  </threadedComment>
  <threadedComment ref="AA15" dT="2024-06-19T14:28:53.36" personId="{ADD07FEE-0709-47F9-ADD3-5E16AA0B8FF7}" id="{5DAA01B0-B54F-4952-B6A1-648BD11BF3B2}">
    <text xml:space="preserve">La programación de dosis se maneja a través del sistema automático que el usuario configura inicialment </text>
  </threadedComment>
  <threadedComment ref="AB15" dT="2024-06-19T14:41:41.39" personId="{ADD07FEE-0709-47F9-ADD3-5E16AA0B8FF7}" id="{C80EF89E-05BC-402B-A6AB-173016D7F843}">
    <text xml:space="preserve">La programación de dosis es manejada automáticamente por el sistema basado en la receta escaneada </text>
  </threadedComment>
  <threadedComment ref="AC15" dT="2024-05-26T07:23:54.74" personId="{ADD07FEE-0709-47F9-ADD3-5E16AA0B8FF7}" id="{CB5D30E5-D5C0-4E17-9268-D91D29680D4A}">
    <text xml:space="preserve">El usuario programa los detalles de su prescripción en el microcontrolador, especificando el número de pastillas y los horarios para las alertas de medicación 
El dispositivo asegura un control preciso de la dosis programando el número de píldoras y el momento para dispensarlas, previniendo la sobredosis o la subdosificación </text>
  </threadedComment>
  <threadedComment ref="AD15" dT="2024-06-19T15:27:07.67" personId="{ADD07FEE-0709-47F9-ADD3-5E16AA0B8FF7}" id="{A8B4D7A3-3A52-4B38-AE2A-610C65AF2174}">
    <text xml:space="preserve">La programación de dosis se gestiona a través de la aplicación web y se actualiza en el dispensador mediante el Raspberry Pi </text>
  </threadedComment>
  <threadedComment ref="AE15" dT="2024-06-19T15:34:52.11" personId="{ADD07FEE-0709-47F9-ADD3-5E16AA0B8FF7}" id="{EFD59CD0-4E55-4DC1-B278-11D6B6BDE26C}">
    <text xml:space="preserve">Los usuarios pueden programar la dispensación de las píldoras a través de la aplicación </text>
  </threadedComment>
  <threadedComment ref="AF15" dT="2024-06-19T15:56:14.06" personId="{ADD07FEE-0709-47F9-ADD3-5E16AA0B8FF7}" id="{35F4AE24-9377-4290-93D3-F883E72EC61B}">
    <text xml:space="preserve">El cuidador es responsable de programar las dosis mediante la aplicación Android </text>
  </threadedComment>
  <threadedComment ref="C16" dT="2024-06-11T00:20:17.09" personId="{ADD07FEE-0709-47F9-ADD3-5E16AA0B8FF7}" id="{CF991535-8AF5-44AC-97B4-282A7176DED1}">
    <text>Hora, autenticacion, auterizacion del responsable</text>
  </threadedComment>
  <threadedComment ref="D16" dT="2024-06-11T09:00:00.95" personId="{ADD07FEE-0709-47F9-ADD3-5E16AA0B8FF7}" id="{03A0C551-E693-42B2-841A-25FC7B6D5E1B}">
    <text>La entrega de las dosis de medicación se controla mediante una tabla en la base de datos en la nube. Las dosis se registran y actualizan cada vez que se toma una tableta. 
El Raspberry Pi envía una notificación de alarma al paciente cuando es el momento de tomar la medicación.</text>
  </threadedComment>
  <threadedComment ref="E16" dT="2024-06-14T18:06:35.58" personId="{ADD07FEE-0709-47F9-ADD3-5E16AA0B8FF7}" id="{8C9236A6-A555-4E52-95AA-930FC302C1CB}">
    <text xml:space="preserve">Los medicamentos se dispensan automáticamente cuando el usuario autenticado desbloquea el sistema con su huella digital.
El sistema incluye sensores infrarrojos para detectar el movimiento y confirmar la entrega de la medicación </text>
  </threadedComment>
  <threadedComment ref="F16" dT="2024-06-16T00:09:48.88" personId="{ADD07FEE-0709-47F9-ADD3-5E16AA0B8FF7}" id="{5B8CF7A2-4843-492F-9A75-AA9756E006B3}">
    <text xml:space="preserve">Las dosis se entregan mediante la activación de un motor servo que libera las pastillas en un compartimento al detectar la mano del usuario mediante un sensor infrarrojo </text>
  </threadedComment>
  <threadedComment ref="H16" dT="2024-05-08T05:25:05.16" personId="{ADD07FEE-0709-47F9-ADD3-5E16AA0B8FF7}" id="{3E5C2BE7-C684-43C9-A4BB-FAB86C763E43}">
    <text xml:space="preserve">El dispositivo dispensa las pastillas de acuerdo con la programación establecida y no permite que se dispense una nueva dosis si la anterior no ha sido tomada </text>
  </threadedComment>
  <threadedComment ref="I16" dT="2024-06-17T22:53:41.36" personId="{ADD07FEE-0709-47F9-ADD3-5E16AA0B8FF7}" id="{C57E0E4F-117B-44DC-AB6F-ECE4D2DEBB45}">
    <text>El paciente abre el compartimento para tomar la medicina, un sensor IR detecta esta acción y envía un mensaje de la medicina tomada</text>
  </threadedComment>
  <threadedComment ref="J16" dT="2024-06-18T00:17:36.15" personId="{ADD07FEE-0709-47F9-ADD3-5E16AA0B8FF7}" id="{F1CBB535-33EC-4254-A3A2-6FA4E7A83FBA}">
    <text xml:space="preserve">El paciente debe presionar un botón accesible en el dispensador para recibir la medicación. Este botón activa el mecanismo de dispensación de las pastillas programadas. </text>
  </threadedComment>
  <threadedComment ref="K16" dT="2024-06-18T00:53:02.96" personId="{ADD07FEE-0709-47F9-ADD3-5E16AA0B8FF7}" id="{A31B5F19-9E48-4653-AB01-26B9C2EED44F}">
    <text xml:space="preserve">La entrega de la dosis se realiza a través del dispensador, que abre el compartimento adecuado y notifica al pacient </text>
  </threadedComment>
  <threadedComment ref="O16" dT="2024-06-18T10:00:44.21" personId="{ADD07FEE-0709-47F9-ADD3-5E16AA0B8FF7}" id="{63405C3B-9845-4107-8D6A-538F1CD5F4EB}">
    <text xml:space="preserve">El dispensador remoto administra la medicación según el análisis de datos de sensores de temperatura corporal </text>
  </threadedComment>
  <threadedComment ref="P16" dT="2024-06-18T10:08:50.50" personId="{ADD07FEE-0709-47F9-ADD3-5E16AA0B8FF7}" id="{79EA5EAD-CF59-45D6-9CB6-207414110BB1}">
    <text xml:space="preserve">El dispositivo dispensa la pastilla en una bandeja una vez que el usuario presiona un botón para confirmar que está tomando la medicación​ </text>
  </threadedComment>
  <threadedComment ref="Q16" dT="2024-06-18T11:11:37.68" personId="{ADD07FEE-0709-47F9-ADD3-5E16AA0B8FF7}" id="{E01AF741-61F2-454E-9DB8-366D1309E849}">
    <text xml:space="preserve">El mecanismo de dispensación automática está diseñado para liberar la dosis exacta de medicación en el momento correcto. Utiliza compartimentos controlados electrónicamente que se abren en el momento programado, liberando la medicación para que el usuario la tom </text>
  </threadedComment>
  <threadedComment ref="R16" dT="2024-06-18T11:48:30.81" personId="{ADD07FEE-0709-47F9-ADD3-5E16AA0B8FF7}" id="{48037727-3C75-461C-9F59-ACF15C732402}">
    <text xml:space="preserve">El paciente debe confirmar su presencia utilizando un botón táctil implementado en la parte superior del dispensador de pastillas </text>
  </threadedComment>
  <threadedComment ref="S16" dT="2024-06-18T12:17:22.85" personId="{ADD07FEE-0709-47F9-ADD3-5E16AA0B8FF7}" id="{770DB171-42FB-41BC-B66C-73583662A2F4}">
    <text xml:space="preserve">La máquina dispensa el medicamento directamente en la mano del usuario una vez que se confirma la presencia de la mano mediante un sensor IR </text>
  </threadedComment>
  <threadedComment ref="T16" dT="2024-06-18T13:08:20.68" personId="{ADD07FEE-0709-47F9-ADD3-5E16AA0B8FF7}" id="{0B550789-E7C2-4B81-A8D3-2AD692313443}">
    <text xml:space="preserve">El usuario debe abrir el cajón correspondiente del dispensador para tomar el medicamento. El sistema utiliza sensores IR para detectar si el cajón ha sido abierto. Si el cajón se abre dentro de los cinco minutos posteriores a la alarma, el sistema envía un mensaje "yes" a la nube indicando que el medicamento ha sido tomado. Si no se abre, envía un mensaje "no". </text>
  </threadedComment>
  <threadedComment ref="U16" dT="2024-06-18T15:02:12.15" personId="{ADD07FEE-0709-47F9-ADD3-5E16AA0B8FF7}" id="{02182B4A-2AAC-4169-9FFA-845D43BBE336}">
    <text xml:space="preserve">El sistema de dispensación de jarabe utiliza una bomba conectada a un relé y controlada por NodeMCU. La bomba se activa al detectar una taza en la plataforma basada en sensores, dispensando la cantidad necesaria de jarabe </text>
  </threadedComment>
  <threadedComment ref="V16" dT="2024-06-18T22:13:43.38" personId="{ADD07FEE-0709-47F9-ADD3-5E16AA0B8FF7}" id="{161B20D3-36CA-42E2-BAE3-64D162C6495F}">
    <text xml:space="preserve">El paciente (o usuario) reconoce la alerta presionando un botón en el dispositivo dispensador. Esta acción es necesaria para confirmar que el usuario ha recibido la notificación </text>
  </threadedComment>
  <threadedComment ref="W16" dT="2024-06-19T02:48:32.27" personId="{ADD07FEE-0709-47F9-ADD3-5E16AA0B8FF7}" id="{A19909E3-9125-4E8D-A6A8-189E728640D3}">
    <text xml:space="preserve">La entrega de la dosis se efectúa cuando el usuario coloca su dedo en el escáner biométrico para activar el motor que dispensa las píldoras. </text>
  </threadedComment>
  <threadedComment ref="X16" dT="2024-06-19T13:32:17.96" personId="{ADD07FEE-0709-47F9-ADD3-5E16AA0B8FF7}" id="{F4CA5785-7DE2-4179-969E-7B54DA81C5B3}">
    <text xml:space="preserve">Entrega dosis de manera automatizada y almacena la información de administración en una base de datos en la nube </text>
  </threadedComment>
  <threadedComment ref="Y16" dT="2024-06-19T13:41:06.37" personId="{ADD07FEE-0709-47F9-ADD3-5E16AA0B8FF7}" id="{5C8018F5-CDA2-4B2A-B654-E305FA04CF8E}">
    <text xml:space="preserve">La píldora se libera a través de una tapa controlada por un servomotor cuando es el momento adecuado </text>
  </threadedComment>
  <threadedComment ref="Z16" dT="2024-06-19T14:13:16.48" personId="{ADD07FEE-0709-47F9-ADD3-5E16AA0B8FF7}" id="{F290A6DF-1BD0-4069-A53F-F7EE931A82E2}">
    <text xml:space="preserve">El sistema dispensa automáticamente las píldoras en la dosis correcta y en los intervalos establecidos por el usuario​ </text>
  </threadedComment>
  <threadedComment ref="AA16" dT="2024-06-19T14:30:36.45" personId="{ADD07FEE-0709-47F9-ADD3-5E16AA0B8FF7}" id="{353944FF-81F2-4CC0-BF96-0DA88E3BA1C8}">
    <text xml:space="preserve">La entrega de dosis se realiza automáticamente a través del Dispenser System (DS) </text>
  </threadedComment>
  <threadedComment ref="AB16" dT="2024-06-19T14:42:09.03" personId="{ADD07FEE-0709-47F9-ADD3-5E16AA0B8FF7}" id="{A1714D10-E2A4-428C-A2E2-8DFCD43E47F4}">
    <text xml:space="preserve">El sistema dispensa las medicinas en base a la programación establecida, actualizando el tiempo de consumo en la base de dato </text>
  </threadedComment>
  <threadedComment ref="AC16" dT="2024-06-19T15:04:08.52" personId="{ADD07FEE-0709-47F9-ADD3-5E16AA0B8FF7}" id="{1643075E-026A-4721-A113-B290EE385DF8}">
    <text xml:space="preserve">El dispensador se activa en intervalos regulares y dispensa las medicinas dependiendo de la presencia del usuario </text>
  </threadedComment>
  <threadedComment ref="AD16" dT="2024-06-19T15:25:25.95" personId="{ADD07FEE-0709-47F9-ADD3-5E16AA0B8FF7}" id="{F8F44A7C-9831-4466-92A4-296656F43298}">
    <text xml:space="preserve">La medicina se dispensa solo cuando el paciente está a una distancia de 40-60 cm del dispensador </text>
  </threadedComment>
  <threadedComment ref="AE16" dT="2024-06-19T15:38:05.00" personId="{ADD07FEE-0709-47F9-ADD3-5E16AA0B8FF7}" id="{2685B045-875E-457A-948E-4144856BD9E7}">
    <text xml:space="preserve">Libera la dosis correcta de medicamento en el momento adecuado, basado en las configuraciones hechas por el usuario a través de la aplicación </text>
  </threadedComment>
  <threadedComment ref="AF16" dT="2024-06-19T15:59:55.20" personId="{ADD07FEE-0709-47F9-ADD3-5E16AA0B8FF7}" id="{A7A4A6DF-331B-4FFD-856B-A749984C7399}">
    <text xml:space="preserve">La dispensación de la medicación se realiza automáticamente mediante un motor servo que rota el cono y libera la pastill </text>
  </threadedComment>
  <threadedComment ref="D17" dT="2024-06-03T23:14:10.33" personId="{ADD07FEE-0709-47F9-ADD3-5E16AA0B8FF7}" id="{5E862FE5-F783-4FC0-B623-90A645DF3310}">
    <text xml:space="preserve">Los datos de salud del paciente, recolectados por biosensores, se envían a la nube para el monitoreo remoto por parte del doctor </text>
  </threadedComment>
  <threadedComment ref="H17" dT="2024-05-08T05:44:47.08" personId="{ADD07FEE-0709-47F9-ADD3-5E16AA0B8FF7}" id="{ACCC042B-664E-486E-9D78-7AA2D5343FE4}">
    <text>Los usuarios pueden acceder a estos datos desde una interfaz web alojada en el ESP32, a través de un navegador en un dispositivo conectado a la misma red Wi-Fi local.  Tiempo de dosificacion</text>
  </threadedComment>
  <threadedComment ref="I17" dT="2024-05-08T09:06:21.55" personId="{ADD07FEE-0709-47F9-ADD3-5E16AA0B8FF7}" id="{EB90E913-DE27-4A2C-AB5A-9DB651EF258C}">
    <text xml:space="preserve">Los datos se envían al servidor, permitiendo al cuidador verificar si el paciente ha tomado la medicación. </text>
  </threadedComment>
  <threadedComment ref="J17" dT="2024-05-08T09:33:48.42" personId="{ADD07FEE-0709-47F9-ADD3-5E16AA0B8FF7}" id="{EBC4F3AD-F6A4-49B7-A058-2C2C32544EAE}">
    <text xml:space="preserve">El sistema permite monitorear a distancia los niveles de oxígeno y la temperatura </text>
  </threadedComment>
  <threadedComment ref="M17" dT="2024-05-13T04:14:58.50" personId="{ADD07FEE-0709-47F9-ADD3-5E16AA0B8FF7}" id="{5F748545-8311-4640-BD86-7772B66AD2AB}">
    <text xml:space="preserve">El sistema permite el monitoreo remoto mediante el registro de la adherencia médica en una base de datos y el envío de alertas por correo electrónico. </text>
  </threadedComment>
  <threadedComment ref="P17" dT="2024-06-18T10:16:50.28" personId="{ADD07FEE-0709-47F9-ADD3-5E16AA0B8FF7}" id="{09CF151C-E3D6-455F-BE88-6A4C54EBDF2D}">
    <text xml:space="preserve">El dispositivo permite el monitoreo remoto a través de la aplicación móvil, enviando notificaciones sobre la toma de medicamentos </text>
  </threadedComment>
  <threadedComment ref="Q17" dT="2024-05-20T00:27:46.65" personId="{ADD07FEE-0709-47F9-ADD3-5E16AA0B8FF7}" id="{998C8E52-B737-465A-8866-262E5B15D96C}">
    <text xml:space="preserve">Incluye un sistema IoT que permite a los clínicos monitorear remotamente los parámetros del paciente, como el tiempo de ingesta de medicamentos y detalles de ubicación. </text>
  </threadedComment>
  <threadedComment ref="R17" dT="2024-05-20T07:20:24.14" personId="{ADD07FEE-0709-47F9-ADD3-5E16AA0B8FF7}" id="{8125ACE1-C934-4971-A139-828FC1933A9F}">
    <text>El sistema propuesto permite no solo que las personas mayores tengan una vida independiente y segura, sino también reducir la carga de los cuidadores, familiares y médicos, ya que les permite supervisar y monitorear las tomas de los ancianos de forma remota</text>
  </threadedComment>
  <threadedComment ref="S17" dT="2024-06-18T12:53:52.67" personId="{ADD07FEE-0709-47F9-ADD3-5E16AA0B8FF7}" id="{32B157B1-D002-43C5-B988-99DBF8AB52E0}">
    <text xml:space="preserve">Los datos sobre la toma de medicamentos se almacenan en una tarjeta SD y se pueden enviar a la nube para que los médicos puedan acceder a ellos remotamente . </text>
  </threadedComment>
  <threadedComment ref="T17" dT="2024-05-25T04:06:26.01" personId="{ADD07FEE-0709-47F9-ADD3-5E16AA0B8FF7}" id="{1580F7FD-C7D9-456C-9078-87303A8A8A5F}">
    <text xml:space="preserve">El sistema utiliza un módulo Wi-Fi para conectar el dispensador a un servidor en la nube, permitiendo el monitoreo remoto a través de la aplicación móvil </text>
  </threadedComment>
  <threadedComment ref="Y17" dT="2024-05-26T03:14:03.47" personId="{ADD07FEE-0709-47F9-ADD3-5E16AA0B8FF7}" id="{2931DF00-FDF0-4DC4-B3D2-B904C6ABBFFF}">
    <text xml:space="preserve">El sistema permite a los cuidadores gestionar y monitorear remotamente el dispensador de píldoras a través de la aplicación móvil </text>
  </threadedComment>
  <threadedComment ref="Z17" dT="2024-06-19T14:14:36.22" personId="{ADD07FEE-0709-47F9-ADD3-5E16AA0B8FF7}" id="{26D96AAA-D64E-4B37-88E0-4C55A02627C8}">
    <text xml:space="preserve">La aplicación móvil permite el monitoreo y control remoto del sistema </text>
  </threadedComment>
  <threadedComment ref="AB17" dT="2024-05-26T07:05:11.93" personId="{ADD07FEE-0709-47F9-ADD3-5E16AA0B8FF7}" id="{6DF25CFC-16CE-4CE5-A957-95275106A8D1}">
    <text xml:space="preserve">Permite a los cuidadores monitorear y gestionar remotamente el dispensador de medicamentos a través de la aplicación móvil y la conexión Wi-Fi </text>
  </threadedComment>
  <threadedComment ref="AC17" dT="2024-06-19T15:05:25.30" personId="{ADD07FEE-0709-47F9-ADD3-5E16AA0B8FF7}" id="{A7CE4F99-AF36-43EB-A6A0-4C4A5086FEF0}">
    <text xml:space="preserve">Los sensores de salud integrados proporcionan un medio de chequeo rutinario de salud desde el hogar, sin necesidad de visitar al médico </text>
  </threadedComment>
  <threadedComment ref="AD17" dT="2024-06-19T15:27:49.21" personId="{ADD07FEE-0709-47F9-ADD3-5E16AA0B8FF7}" id="{0253CF61-1DBD-4427-97B7-4A3E7DA24FDD}">
    <text xml:space="preserve">Se puede monitorear remotamente la administración de medicamentos y ajustar las dosis según sea necesario </text>
  </threadedComment>
  <threadedComment ref="N18" dT="2024-05-15T05:07:04.47" personId="{ADD07FEE-0709-47F9-ADD3-5E16AA0B8FF7}" id="{E3DFB9F4-48C8-4467-B8E4-EC126DDE0917}">
    <text xml:space="preserve">El experimento realmente se llevó a cabo en el hogar de los pacientes durante un período de tres meses, obteniendo resultados exitosos. </text>
  </threadedComment>
  <threadedComment ref="O18" dT="2024-07-15T04:56:27.73" personId="{ADD07FEE-0709-47F9-ADD3-5E16AA0B8FF7}" id="{ECA105AD-0EFB-4701-AFD5-5A0288174ADD}">
    <text xml:space="preserve">Se realizó una evaluación comparativa entre la toma de decisiones de expertos humanos y el Controlador Inteligente de Medicación para antitérmicos como ibuprofeno y paracetamol. Participaron 10 expertos médicos en un estudio de caso con dos encuestas </text>
  </threadedComment>
  <threadedComment ref="R18" dT="2024-05-20T06:53:20.64" personId="{ADD07FEE-0709-47F9-ADD3-5E16AA0B8FF7}" id="{F4DCA244-B467-49B3-BA32-826C8D119671}">
    <text xml:space="preserve">El sistema propuesto se probó con la ayuda de siete individuos, tres personas mayores de entre 64 y 67 años </text>
  </threadedComment>
  <threadedComment ref="T18" dT="2024-05-25T03:57:07.24" personId="{ADD07FEE-0709-47F9-ADD3-5E16AA0B8FF7}" id="{A488EA08-A543-4DF0-805B-83C1B53A9492}">
    <text xml:space="preserve">El dispositivo fue evaluado por diez participantes que lo tuvieron instalado en sus hogares durante un día </text>
  </threadedComment>
  <threadedComment ref="Y18" dT="2024-05-26T02:53:27.00" personId="{ADD07FEE-0709-47F9-ADD3-5E16AA0B8FF7}" id="{E7198871-4205-40DF-BA62-EE53E132BBAC}">
    <text xml:space="preserve">Se realiza una validación funcional del sistema simulando un escenario con una persona mayor y su cuidador. </text>
  </threadedComment>
  <threadedComment ref="AA18" dT="2024-05-26T05:19:19.79" personId="{ADD07FEE-0709-47F9-ADD3-5E16AA0B8FF7}" id="{CE797521-570D-4275-BEEC-A16FB80FD4A2}">
    <text xml:space="preserve">Se realizaron pruebas con usuarios de diferentes niveles de habilidad tecnológica para evaluar la usabilidad del sistema </text>
  </threadedComment>
  <threadedComment ref="AD18" dT="2024-05-26T07:42:41.45" personId="{ADD07FEE-0709-47F9-ADD3-5E16AA0B8FF7}" id="{567A2D75-D363-4555-950C-8953ED77F7BE}">
    <text xml:space="preserve">Se realizaron pruebas experimentales con un paciente con hipertensión y diabetes para validar la efectividad del dispensador y la red de salud </text>
  </threadedComment>
  <threadedComment ref="S19" dT="2024-05-28T04:23:01.05" personId="{ADD07FEE-0709-47F9-ADD3-5E16AA0B8FF7}" id="{442E1514-1D61-47DC-8941-539DA1C3DD2F}">
    <text xml:space="preserve">pastillas y jarabes </text>
  </threadedComment>
  <threadedComment ref="U19" dT="2024-05-25T06:05:12.63" personId="{ADD07FEE-0709-47F9-ADD3-5E16AA0B8FF7}" id="{A26E05FE-7DDE-4190-BD98-78CC8E32AAAA}">
    <text xml:space="preserve">El dispensador está diseñado para dispensar pastillas (paracetamol, vitamina C, zinc) y jarabes (para pacientes que necesitan jarabes para la tos) </text>
  </threadedComment>
  <threadedComment ref="AA19" dT="2024-06-19T14:27:10.38" personId="{ADD07FEE-0709-47F9-ADD3-5E16AA0B8FF7}" id="{DE0B8B03-EC59-461A-9ED7-689DEE1EC6EA}">
    <text xml:space="preserve">Diseñado para píldoras de hasta 1.3 cm de diámetro </text>
  </threadedComment>
  <threadedComment ref="AF19" dT="2024-05-26T08:04:52.77" personId="{ADD07FEE-0709-47F9-ADD3-5E16AA0B8FF7}" id="{55A2331D-0BCD-41A0-8A91-E9AFE57858D6}">
    <text xml:space="preserve">El dispositivo soporta una variedad de tamaños y formas de píldoras aprobadas por la FDA, que varían de 0.48 cm a 2.29 cm de diámetro </text>
  </threadedComment>
  <threadedComment ref="P20" dT="2024-05-19T07:24:31.14" personId="{ADD07FEE-0709-47F9-ADD3-5E16AA0B8FF7}" id="{BF4332C4-1A7E-4360-AEDD-93A04ADF88CF}">
    <text xml:space="preserve">La caja de pastillas consiste en un total de 9 piezas de plástico impresas en 3D que conforman tanto el cuerpo exterior como los mecanismos internos de la caja de pastillas </text>
  </threadedComment>
  <threadedComment ref="R20" dT="2024-05-20T07:30:03.47" personId="{ADD07FEE-0709-47F9-ADD3-5E16AA0B8FF7}" id="{2296ABFF-FDC0-41E2-894B-E6D677EA183F}">
    <text xml:space="preserve">Se describe como un componente de plástico redondo con múltiples compartimentos </text>
  </threadedComment>
  <threadedComment ref="AF20" dT="2024-05-26T08:05:42.01" personId="{ADD07FEE-0709-47F9-ADD3-5E16AA0B8FF7}" id="{60922E57-0207-4713-AD1A-1406554B8AE5}">
    <text xml:space="preserve">
Los recipientes de píldoras están hechos de láminas plásticas y madera, junto con otros componentes electrónicos y mecánicos .</text>
  </threadedComment>
  <threadedComment ref="J21" dT="2024-06-18T00:51:37.98" personId="{ADD07FEE-0709-47F9-ADD3-5E16AA0B8FF7}" id="{FF3AE1BA-7897-4C5D-A468-09E1AF7C98F5}">
    <text xml:space="preserve">El sistema utiliza la computadora para programar y administrar las dosis basándose en los datos del paciente obtenidos a través de los sensores. La computadora diagnostica al paciente y determina la dosis adecuada </text>
  </threadedComment>
  <threadedComment ref="M21" dT="2024-05-13T00:17:21.18" personId="{ADD07FEE-0709-47F9-ADD3-5E16AA0B8FF7}" id="{4B7B59F0-2A7C-4CE2-8719-0F4BF25E9DB7}">
    <text xml:space="preserve">La caja de pastillas es cilíndrica con un radio de base de 6 cm y una altura de 16.5 cm. </text>
  </threadedComment>
  <threadedComment ref="S21" dT="2024-06-18T12:18:55.90" personId="{ADD07FEE-0709-47F9-ADD3-5E16AA0B8FF7}" id="{E20798CE-6ADE-449C-95B1-C09C51CCCF46}">
    <text xml:space="preserve">Las cajas de pastillas pueden ser de forma cuadrada o circular </text>
  </threadedComment>
  <threadedComment ref="T21" dT="2024-05-25T05:40:50.00" personId="{ADD07FEE-0709-47F9-ADD3-5E16AA0B8FF7}" id="{BBF1699A-7BE8-41D7-A8DF-CAC736EC7585}">
    <text xml:space="preserve">Organizados en tres compartimentos separados que dividen el día en partes de mañana, mediodía y noche. Cada compartimento puede contener un tipo diferente de medicamento y está equipado con una luz LED que indica cuál debe ser tomado en un momento dado. </text>
  </threadedComment>
  <threadedComment ref="U21" dT="2024-05-25T06:29:41.78" personId="{ADD07FEE-0709-47F9-ADD3-5E16AA0B8FF7}" id="{19849E8D-FDC5-4345-9AD5-CB0460275127}">
    <text xml:space="preserve">El dispensador de pastillas tiene una forma circular con varios compartimentos. </text>
  </threadedComment>
  <threadedComment ref="V21" dT="2024-05-25T09:25:40.34" personId="{ADD07FEE-0709-47F9-ADD3-5E16AA0B8FF7}" id="{C1AE7584-B50A-4FFE-88F5-31AA40E03354}">
    <text xml:space="preserve">El dispensador tiene un diseño isométrico y externo que acomoda todos los componentes necesarios, diseñado con Autodesk Fusion360 y Sketchup </text>
  </threadedComment>
  <threadedComment ref="Z21" dT="2024-06-19T14:10:58.91" personId="{ADD07FEE-0709-47F9-ADD3-5E16AA0B8FF7}" id="{E1D8AA25-EAFE-4502-9163-57E1B6AF6026}">
    <text xml:space="preserve">Los recipientes están diseñados para contener grupos de ocho píldoras </text>
  </threadedComment>
  <threadedComment ref="E22" dT="2024-06-14T18:07:51.22" personId="{ADD07FEE-0709-47F9-ADD3-5E16AA0B8FF7}" id="{4CE4578D-CC66-434C-8933-B6D44BFBD29D}">
    <text xml:space="preserve">El administrador puede agregar, actualizar o eliminar usuarios </text>
  </threadedComment>
  <threadedComment ref="N23" dT="2024-05-14T04:12:46.60" personId="{ADD07FEE-0709-47F9-ADD3-5E16AA0B8FF7}" id="{7B9445CC-588A-4B20-8C8E-F75036FBB7C4}">
    <text>El acceso al kit de medicamentos requiere autenticación mediante huella digital utilizando una red neuronal profunda VGG-16 con mejora de imagen 
Además se presenta una comparación de rendimiento de sistemas de reconocimiento de huellas dactilares, destacando una precisión del 98.27% en el primer experimento y del 98.85% en el segundo experimento</text>
  </threadedComment>
  <threadedComment ref="AC23" dT="2024-06-19T15:06:01.70" personId="{ADD07FEE-0709-47F9-ADD3-5E16AA0B8FF7}" id="{43F7C929-2DAC-4185-AE8F-E88542D4BB61}">
    <text xml:space="preserve">Utiliza RFID para verificar la validez del usuario antes de dispensar las pastillas </text>
  </threadedComment>
  <threadedComment ref="D24" dT="2024-06-04T05:21:54.44" personId="{ADD07FEE-0709-47F9-ADD3-5E16AA0B8FF7}" id="{7E41ED12-4CCE-4CA6-ADDD-067CCD77FA4A}">
    <text xml:space="preserve">Al momento de su primer inicio de sesión, se les pedirá que se registren con su ID de correo electrónico y la autorización adicional será asegurada por el hospital registrado </text>
  </threadedComment>
  <threadedComment ref="I24" dT="2024-06-17T23:10:20.63" personId="{ADD07FEE-0709-47F9-ADD3-5E16AA0B8FF7}" id="{A0AA6FAF-DA74-4FCB-87C0-99AEE3740467}">
    <text xml:space="preserve">Los cuidadores inician sesión con ID y contraseña para programar las medicinas </text>
  </threadedComment>
  <threadedComment ref="K24" dT="2024-05-27T20:37:36.39" personId="{ADD07FEE-0709-47F9-ADD3-5E16AA0B8FF7}" id="{919063C6-8530-476B-ACCA-8EC8DE903E89}">
    <text xml:space="preserve">Se menciona el uso de Adhaar ID (prueba de identidad) y la generación de OTP (One Time Password) para asegurar que no haya mal uso del dispositivo y mantener los datos seguros para futuros usos </text>
  </threadedComment>
  <threadedComment ref="Q24" dT="2024-06-18T10:52:45.85" personId="{ADD07FEE-0709-47F9-ADD3-5E16AA0B8FF7}" id="{65E96A9C-0B4F-419D-A4E1-C9FE353FB86A}">
    <text xml:space="preserve">Autenticación de usuario mediante nombre de usuario y contraseña en la aplicación móvil </text>
  </threadedComment>
  <threadedComment ref="R24" dT="2024-05-28T19:28:40.41" personId="{ADD07FEE-0709-47F9-ADD3-5E16AA0B8FF7}" id="{213836B3-EE54-4CBD-BF56-25D321C85411}">
    <text>Usuario y contraseña</text>
  </threadedComment>
  <threadedComment ref="X24" dT="2024-05-26T08:27:45.83" personId="{ADD07FEE-0709-47F9-ADD3-5E16AA0B8FF7}" id="{071F13BC-2DF7-44EF-8541-2A74F719E189}">
    <text xml:space="preserve">Se menciona el uso de una dirección de correo electrónico y una contraseña como método de autenticación para la seguridad en Google Sheets. </text>
  </threadedComment>
  <threadedComment ref="AD24" dT="2024-06-19T15:23:06.54" personId="{ADD07FEE-0709-47F9-ADD3-5E16AA0B8FF7}" id="{F3AC0D47-2BB2-4F17-8937-C4B9CC1F01D0}">
    <text xml:space="preserve">Los pacientes pueden iniciar sesión en la aplicación web para acceder a sus datos y funcionalidades </text>
  </threadedComment>
  <threadedComment ref="D25" dT="2024-06-04T05:26:02.31" personId="{ADD07FEE-0709-47F9-ADD3-5E16AA0B8FF7}" id="{DCC3F7ED-FD04-4A08-9CFB-CF030FF44915}">
    <text xml:space="preserve">En este sistema, el paciente puede enviar el estado de su condición de salud con la ayuda de biosensores como el electrocardiograma (ECG), la presión arterial (BP), la temperatura corporal a través de una red de comunicación inalámbrica </text>
  </threadedComment>
  <threadedComment ref="AA26" dT="2024-06-19T14:09:23.93" personId="{ADD07FEE-0709-47F9-ADD3-5E16AA0B8FF7}" id="{5F8AEC32-F608-403A-BAED-14A9635442D1}">
    <text xml:space="preserve">Uso de pantallas LCD para mostrar la hora actual y los tiempos programados para la toma de medicamento </text>
  </threadedComment>
  <threadedComment ref="K27" dT="2024-05-08T09:40:46.02" personId="{ADD07FEE-0709-47F9-ADD3-5E16AA0B8FF7}" id="{A2A0AFA2-CE10-4BFC-8FCC-F29FB854D3CA}">
    <text xml:space="preserve">Se utilizan medidas de seguridad como OTP para proteger el acceso al sistema. </text>
  </threadedComment>
  <threadedComment ref="M27" dT="2024-05-13T00:16:36.01" personId="{ADD07FEE-0709-47F9-ADD3-5E16AA0B8FF7}" id="{1790C4E1-AE19-4D50-9F8B-16FE8CAAD07B}">
    <text xml:space="preserve">Los datos se transmiten de manera segura utilizando el protocolo MQTT y se almacenan en una base de datos MySQL </text>
  </threadedComment>
  <threadedComment ref="X27" dT="2024-05-25T10:21:49.70" personId="{ADD07FEE-0709-47F9-ADD3-5E16AA0B8FF7}" id="{68F7CC62-7B85-4455-BBA4-D3B25F6060A7}">
    <text xml:space="preserve">La seguridad de los datos se asegura a través del protocolo HTTPS y el acceso autenticado </text>
  </threadedComment>
  <threadedComment ref="Y27" dT="2024-05-26T03:00:33.12" personId="{ADD07FEE-0709-47F9-ADD3-5E16AA0B8FF7}" id="{BAB2CA93-A57E-4960-B422-23E99B2046EF}">
    <text xml:space="preserve">El sistema utiliza servicios como SLF4J para la administración de registros y seguridad en la comunicación de datos </text>
  </threadedComment>
  <threadedComment ref="D28" dT="2024-06-11T08:02:42.24" personId="{ADD07FEE-0709-47F9-ADD3-5E16AA0B8FF7}" id="{9D4988CE-999D-464B-A0B7-3D9F3F6BAA7A}">
    <text xml:space="preserve">Los datos sobre la cantidad de medicamentos se actualizan en la base de datos en la nube cada vez que se toma una tableta. Si la cantidad de tabletas es menor a 10, tanto el doctor como el farmacéutico son notificados </text>
  </threadedComment>
  <threadedComment ref="H28" dT="2024-06-17T03:17:10.42" personId="{ADD07FEE-0709-47F9-ADD3-5E16AA0B8FF7}" id="{08CCAB63-9236-40EE-A394-AC37CE7328BD}">
    <text xml:space="preserve">los medicamentos se insertan en el dispositivo a través de un embudo colocado en la parte superior del dispositivo </text>
  </threadedComment>
  <threadedComment ref="I28" dT="2024-05-08T08:42:49.38" personId="{ADD07FEE-0709-47F9-ADD3-5E16AA0B8FF7}" id="{5FDAC83C-7396-4F5E-9001-E8A0D47C79A2}">
    <text xml:space="preserve">puede almacenar el medicamento durante 7 días. Para cada día, tenemos 3 compartimentos para la mañana, tarde y noche. Así que, para 7 días, tenemos un total de 21 compartimentos (7x3). El dispensador de pastillas se puede cargar previamente, así como programarse por el propio paciente </text>
  </threadedComment>
  <threadedComment ref="J28" dT="2024-05-19T08:06:28.54" personId="{ADD07FEE-0709-47F9-ADD3-5E16AA0B8FF7}" id="{4C2A1619-8B69-4299-8570-B8DE8495B5EF}">
    <text xml:space="preserve">El mecanismo de recarga es preciso y permite al usuario rellenar los contenedores de manera sencilla y exacta </text>
  </threadedComment>
  <threadedComment ref="P28" dT="2024-05-19T07:40:41.83" personId="{ADD07FEE-0709-47F9-ADD3-5E16AA0B8FF7}" id="{0D35BFE3-AECD-4DC8-978C-B3D36BBE0C0F}">
    <text xml:space="preserve">La persona a cargo será guiada para insertar un tipo específico de pastilla en la caja de pastillas y presionar un botón en la aplicación una vez completada esta acción... esta acción se repetirá hasta que todos los compartimentos de pastillas hayan sido recargados </text>
  </threadedComment>
  <threadedComment ref="V28" dT="2024-06-19T02:36:16.81" personId="{ADD07FEE-0709-47F9-ADD3-5E16AA0B8FF7}" id="{C930FF5B-E7D1-493F-9113-D173E92F8BCE}">
    <text xml:space="preserve">al final del ciclo de dosis programadas para el día, el sistema enviará una notificación al usuario a través de la aplicación móvil para recordarle que debe recargar el dispensador con nuevas pastillas para el siguiente ciclo de administración </text>
  </threadedComment>
  <threadedComment ref="W28" dT="2024-06-19T05:13:21.42" personId="{ADD07FEE-0709-47F9-ADD3-5E16AA0B8FF7}" id="{D2CE7E64-3FFA-4FCA-845B-4FE20E22984B}">
    <text xml:space="preserve">El dispositivo está diseñado para ser cargado con medicamentos para un mes completo, reduciendo la carga de trabajo de los cuidadores o usuarios </text>
  </threadedComment>
  <threadedComment ref="AA28" dT="2024-05-26T05:57:47.10" personId="{ADD07FEE-0709-47F9-ADD3-5E16AA0B8FF7}" id="{D529CCEA-E2E0-4344-8CE1-C4C2222B1595}">
    <text xml:space="preserve">El usuario puede añadir información de medicamentos y rellenar el dispensador mediante comandos de voz </text>
  </threadedComment>
  <threadedComment ref="I29" dT="2024-05-08T08:45:42.41" personId="{ADD07FEE-0709-47F9-ADD3-5E16AA0B8FF7}" id="{D2241A40-6957-4624-8CCB-7E60ED59DA0F}">
    <text xml:space="preserve">la interfaz sencilla del dispensador están diseñadas para ser fáciles de usar para cualquier persona </text>
  </threadedComment>
  <threadedComment ref="K29" dT="2024-06-18T00:56:01.67" personId="{ADD07FEE-0709-47F9-ADD3-5E16AA0B8FF7}" id="{CB786A1D-AEFC-4901-B908-9074EE9B4A80}">
    <text xml:space="preserve">El sistema ofrece opciones de accesibilidad mediante un sistema de reconocimiento de voz, permitiendo a los pacientes interactuar con la computadora usando comandos de voz </text>
  </threadedComment>
  <threadedComment ref="N29" dT="2024-06-05T06:37:19.78" personId="{ADD07FEE-0709-47F9-ADD3-5E16AA0B8FF7}" id="{349482EB-6803-4CEE-8B74-AE2B63FB7B41}">
    <text xml:space="preserve">El Braille en el contexto del dispensador de medicamentos es utilizado para permitir que las personas con discapacidades visuales identifiquen y localicen de manera precisa y autónoma los compartimentos correctos dentro del dispensador. Los números en Braille, grabados en la parte superior de cada puerta de compartimento, proporcionan una interfaz táctil que los usuarios pueden leer mediante el tacto </text>
  </threadedComment>
  <threadedComment ref="Y29" dT="2024-06-19T13:46:05.39" personId="{ADD07FEE-0709-47F9-ADD3-5E16AA0B8FF7}" id="{1908F378-250A-469F-BA3A-87E0DD59E611}">
    <text xml:space="preserve">el dispensador utiliza comandos de voz para mejorar la interacción humano-máquina, lo cual puede ser beneficioso para personas con discapacidades visuales </text>
  </threadedComment>
  <threadedComment ref="AA29" dT="2024-05-26T06:11:51.55" personId="{ADD07FEE-0709-47F9-ADD3-5E16AA0B8FF7}" id="{148474A9-296A-4713-9683-6338861C1E30}">
    <text>El sistema está diseñado para ser accesible mediante interacciones de voz, especialmente útil para personas ciegas o con discapacidad visual</text>
  </threadedComment>
  <threadedComment ref="U30" dT="2024-05-25T06:28:40.30" personId="{ADD07FEE-0709-47F9-ADD3-5E16AA0B8FF7}" id="{C1DA9CF6-806C-47C9-A40E-B215FC960354}">
    <text xml:space="preserve">El dispensador de jarabes también puede ser utilizado para otros líquidos como agua o glucosa. </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41015-48CB-4549-8490-2B2AF4C6EB60}">
  <dimension ref="A1:AX30"/>
  <sheetViews>
    <sheetView tabSelected="1" zoomScaleNormal="100" workbookViewId="0">
      <selection activeCell="D4" sqref="D4"/>
    </sheetView>
  </sheetViews>
  <sheetFormatPr baseColWidth="10" defaultColWidth="11.42578125" defaultRowHeight="15" x14ac:dyDescent="0.25"/>
  <cols>
    <col min="3" max="3" width="54.42578125" customWidth="1"/>
    <col min="4" max="4" width="35.42578125" customWidth="1"/>
    <col min="5" max="7" width="37.42578125" customWidth="1"/>
    <col min="8" max="8" width="40.42578125" customWidth="1"/>
    <col min="9" max="9" width="19.140625" style="1" customWidth="1"/>
    <col min="10" max="10" width="24.42578125" customWidth="1"/>
    <col min="11" max="11" width="21.42578125" customWidth="1"/>
    <col min="12" max="12" width="15.85546875" style="22" customWidth="1"/>
    <col min="13" max="13" width="19.85546875" style="2" customWidth="1"/>
    <col min="14" max="14" width="19.85546875" customWidth="1"/>
    <col min="15" max="15" width="35.85546875" customWidth="1"/>
    <col min="16" max="16" width="44.140625" customWidth="1"/>
    <col min="17" max="17" width="24.42578125" customWidth="1"/>
    <col min="18" max="18" width="24.5703125" customWidth="1"/>
    <col min="19" max="19" width="21" customWidth="1"/>
    <col min="20" max="20" width="13.5703125" customWidth="1"/>
    <col min="21" max="21" width="16.28515625" customWidth="1"/>
    <col min="22" max="22" width="17.7109375" customWidth="1"/>
    <col min="23" max="23" width="19.5703125" customWidth="1"/>
    <col min="24" max="24" width="22.28515625" customWidth="1"/>
    <col min="25" max="25" width="19" customWidth="1"/>
    <col min="26" max="26" width="17" customWidth="1"/>
    <col min="27" max="27" width="20.5703125" customWidth="1"/>
    <col min="28" max="28" width="21.28515625" customWidth="1"/>
    <col min="29" max="29" width="20.5703125" customWidth="1"/>
    <col min="30" max="30" width="24.28515625" customWidth="1"/>
    <col min="31" max="31" width="17.42578125" customWidth="1"/>
    <col min="32" max="32" width="15.140625" customWidth="1"/>
    <col min="36" max="36" width="11.85546875" bestFit="1" customWidth="1"/>
    <col min="40" max="40" width="11.85546875" bestFit="1" customWidth="1"/>
    <col min="43" max="43" width="18.42578125" customWidth="1"/>
  </cols>
  <sheetData>
    <row r="1" spans="1:50" ht="15.75" thickBot="1" x14ac:dyDescent="0.3"/>
    <row r="2" spans="1:50" ht="15.75" thickBot="1" x14ac:dyDescent="0.3">
      <c r="D2" s="35" t="s">
        <v>0</v>
      </c>
      <c r="E2" s="36"/>
      <c r="F2" s="36"/>
      <c r="G2" s="36"/>
      <c r="H2" s="36"/>
      <c r="I2" s="36"/>
      <c r="J2" s="37"/>
      <c r="K2" s="33" t="s">
        <v>1</v>
      </c>
      <c r="L2" s="33"/>
      <c r="M2" s="33"/>
      <c r="N2" s="34" t="s">
        <v>2</v>
      </c>
      <c r="O2" s="34"/>
      <c r="P2" s="34"/>
      <c r="Q2" s="38" t="s">
        <v>3</v>
      </c>
      <c r="R2" s="38"/>
      <c r="S2" s="38"/>
      <c r="T2" s="38"/>
      <c r="U2" s="38"/>
      <c r="V2" s="38"/>
      <c r="W2" s="38"/>
      <c r="X2" s="38"/>
      <c r="Y2" s="38"/>
      <c r="Z2" s="38"/>
      <c r="AA2" s="38"/>
      <c r="AB2" s="38"/>
      <c r="AC2" s="38"/>
      <c r="AD2" s="38"/>
      <c r="AE2" s="38"/>
      <c r="AF2" s="38"/>
      <c r="AU2" t="s">
        <v>0</v>
      </c>
      <c r="AV2" t="s">
        <v>1</v>
      </c>
      <c r="AW2" t="s">
        <v>4</v>
      </c>
      <c r="AX2" t="s">
        <v>3</v>
      </c>
    </row>
    <row r="3" spans="1:50" ht="15.75" thickBot="1" x14ac:dyDescent="0.3">
      <c r="D3" s="3">
        <v>1</v>
      </c>
      <c r="E3" s="3">
        <v>2</v>
      </c>
      <c r="F3" s="3">
        <v>9</v>
      </c>
      <c r="G3" s="3">
        <v>10</v>
      </c>
      <c r="H3" s="3">
        <v>14</v>
      </c>
      <c r="I3" s="9">
        <v>16</v>
      </c>
      <c r="J3" s="3">
        <v>17</v>
      </c>
      <c r="K3" s="4">
        <v>1</v>
      </c>
      <c r="L3" s="23">
        <v>2</v>
      </c>
      <c r="M3" s="10">
        <v>3</v>
      </c>
      <c r="N3" s="5">
        <v>4</v>
      </c>
      <c r="O3" s="5">
        <v>10</v>
      </c>
      <c r="P3" s="5">
        <v>17</v>
      </c>
      <c r="Q3" s="12">
        <v>4</v>
      </c>
      <c r="R3" s="13">
        <v>11</v>
      </c>
      <c r="S3" s="13">
        <v>21</v>
      </c>
      <c r="T3" s="14">
        <v>22</v>
      </c>
      <c r="U3" s="11">
        <v>23</v>
      </c>
      <c r="V3" s="6">
        <v>24</v>
      </c>
      <c r="W3" s="6">
        <v>28</v>
      </c>
      <c r="X3" s="6">
        <v>30</v>
      </c>
      <c r="Y3" s="6">
        <v>32</v>
      </c>
      <c r="Z3" s="6">
        <v>33</v>
      </c>
      <c r="AA3" s="6">
        <v>35</v>
      </c>
      <c r="AB3" s="6">
        <v>38</v>
      </c>
      <c r="AC3" s="6">
        <v>39</v>
      </c>
      <c r="AD3" s="6">
        <v>44</v>
      </c>
      <c r="AE3" s="6">
        <v>46</v>
      </c>
      <c r="AF3" s="6">
        <v>49</v>
      </c>
      <c r="AU3">
        <f>COUNTA(D3:J3)</f>
        <v>7</v>
      </c>
      <c r="AV3">
        <v>3</v>
      </c>
      <c r="AW3">
        <v>3</v>
      </c>
      <c r="AX3">
        <f>COUNTA(Q3:AF3)</f>
        <v>16</v>
      </c>
    </row>
    <row r="4" spans="1:50" ht="84" customHeight="1" thickBot="1" x14ac:dyDescent="0.3">
      <c r="C4" s="15" t="s">
        <v>240</v>
      </c>
      <c r="D4" s="16" t="s">
        <v>5</v>
      </c>
      <c r="E4" s="16" t="s">
        <v>6</v>
      </c>
      <c r="F4" s="17" t="s">
        <v>7</v>
      </c>
      <c r="G4" s="17" t="s">
        <v>8</v>
      </c>
      <c r="H4" s="17" t="s">
        <v>9</v>
      </c>
      <c r="I4" s="17" t="s">
        <v>10</v>
      </c>
      <c r="J4" s="17" t="s">
        <v>11</v>
      </c>
      <c r="K4" s="17" t="s">
        <v>12</v>
      </c>
      <c r="L4" s="24" t="s">
        <v>13</v>
      </c>
      <c r="M4" s="25" t="s">
        <v>14</v>
      </c>
      <c r="N4" s="17" t="s">
        <v>15</v>
      </c>
      <c r="O4" s="17" t="s">
        <v>16</v>
      </c>
      <c r="P4" s="17" t="s">
        <v>17</v>
      </c>
      <c r="Q4" s="18" t="s">
        <v>18</v>
      </c>
      <c r="R4" s="18" t="s">
        <v>19</v>
      </c>
      <c r="S4" s="18" t="s">
        <v>20</v>
      </c>
      <c r="T4" s="18" t="s">
        <v>21</v>
      </c>
      <c r="U4" s="17" t="s">
        <v>22</v>
      </c>
      <c r="V4" s="17" t="s">
        <v>23</v>
      </c>
      <c r="W4" s="17" t="s">
        <v>24</v>
      </c>
      <c r="X4" s="17" t="s">
        <v>25</v>
      </c>
      <c r="Y4" s="17" t="s">
        <v>26</v>
      </c>
      <c r="Z4" s="17" t="s">
        <v>27</v>
      </c>
      <c r="AA4" s="17" t="s">
        <v>28</v>
      </c>
      <c r="AB4" s="17" t="s">
        <v>29</v>
      </c>
      <c r="AC4" s="17" t="s">
        <v>30</v>
      </c>
      <c r="AD4" s="17" t="s">
        <v>31</v>
      </c>
      <c r="AE4" s="17" t="s">
        <v>32</v>
      </c>
      <c r="AF4" s="17" t="s">
        <v>33</v>
      </c>
      <c r="AG4" s="18" t="s">
        <v>34</v>
      </c>
      <c r="AU4" s="7">
        <v>21</v>
      </c>
      <c r="AV4">
        <v>13</v>
      </c>
      <c r="AW4" s="8">
        <v>28</v>
      </c>
      <c r="AX4">
        <v>51</v>
      </c>
    </row>
    <row r="5" spans="1:50" x14ac:dyDescent="0.25">
      <c r="B5">
        <v>1</v>
      </c>
      <c r="C5" s="28" t="s">
        <v>35</v>
      </c>
      <c r="D5" s="28" t="s">
        <v>36</v>
      </c>
      <c r="E5" s="28" t="s">
        <v>37</v>
      </c>
      <c r="F5" s="28" t="s">
        <v>37</v>
      </c>
      <c r="G5" s="28" t="s">
        <v>39</v>
      </c>
      <c r="H5" s="28" t="s">
        <v>38</v>
      </c>
      <c r="I5" s="28" t="s">
        <v>36</v>
      </c>
      <c r="J5" s="28" t="s">
        <v>39</v>
      </c>
      <c r="K5" s="28" t="s">
        <v>37</v>
      </c>
      <c r="L5" s="28" t="s">
        <v>233</v>
      </c>
      <c r="M5" s="28" t="s">
        <v>39</v>
      </c>
      <c r="N5" s="28" t="s">
        <v>36</v>
      </c>
      <c r="O5" s="28" t="s">
        <v>36</v>
      </c>
      <c r="P5" s="28" t="s">
        <v>36</v>
      </c>
      <c r="Q5" s="28" t="s">
        <v>36</v>
      </c>
      <c r="R5" s="28" t="s">
        <v>36</v>
      </c>
      <c r="S5" s="28" t="s">
        <v>37</v>
      </c>
      <c r="T5" s="28" t="s">
        <v>36</v>
      </c>
      <c r="U5" s="28" t="s">
        <v>36</v>
      </c>
      <c r="V5" s="28" t="s">
        <v>36</v>
      </c>
      <c r="W5" s="28" t="s">
        <v>39</v>
      </c>
      <c r="X5" s="28" t="s">
        <v>38</v>
      </c>
      <c r="Y5" s="28" t="s">
        <v>36</v>
      </c>
      <c r="Z5" s="28" t="s">
        <v>36</v>
      </c>
      <c r="AA5" s="28" t="s">
        <v>37</v>
      </c>
      <c r="AB5" s="28" t="s">
        <v>36</v>
      </c>
      <c r="AC5" s="28" t="s">
        <v>36</v>
      </c>
      <c r="AD5" s="28" t="s">
        <v>39</v>
      </c>
      <c r="AE5" s="28" t="s">
        <v>36</v>
      </c>
      <c r="AF5" s="28" t="s">
        <v>36</v>
      </c>
      <c r="AG5" s="28">
        <f>COUNTA(D5:AF5) - COUNTIF(D5:AF5, "No menciona")</f>
        <v>28</v>
      </c>
      <c r="AH5" s="2"/>
      <c r="AI5" s="2" t="s">
        <v>40</v>
      </c>
      <c r="AJ5" s="2" cm="1">
        <f t="array" ref="AJ5">SUMPRODUCT(--ISNUMBER(SEARCH("App móvil", D5:AF5)))</f>
        <v>16</v>
      </c>
      <c r="AK5" s="2" t="s">
        <v>39</v>
      </c>
      <c r="AL5" s="2" cm="1">
        <f t="array" ref="AL5">SUMPRODUCT(--ISNUMBER(SEARCH("App web", D5:AF5)))</f>
        <v>7</v>
      </c>
      <c r="AM5" s="2" t="s">
        <v>37</v>
      </c>
      <c r="AN5" s="2" cm="1">
        <f t="array" ref="AN5">SUMPRODUCT(--ISNUMBER(SEARCH("Embebido", D5:AF5)))</f>
        <v>5</v>
      </c>
      <c r="AO5" s="2"/>
      <c r="AP5" s="2"/>
      <c r="AQ5" s="2"/>
      <c r="AR5" s="2"/>
      <c r="AS5" s="2"/>
      <c r="AT5" s="2"/>
      <c r="AU5" s="2"/>
    </row>
    <row r="6" spans="1:50" s="2" customFormat="1" x14ac:dyDescent="0.25">
      <c r="A6"/>
      <c r="B6">
        <v>2</v>
      </c>
      <c r="C6" s="28" t="s">
        <v>41</v>
      </c>
      <c r="D6" s="28" t="s">
        <v>232</v>
      </c>
      <c r="E6" s="28" t="s">
        <v>47</v>
      </c>
      <c r="F6" s="28" t="s">
        <v>47</v>
      </c>
      <c r="G6" s="28" t="s">
        <v>231</v>
      </c>
      <c r="H6" s="28" t="s">
        <v>42</v>
      </c>
      <c r="I6" s="29" t="s">
        <v>43</v>
      </c>
      <c r="J6" s="28" t="s">
        <v>43</v>
      </c>
      <c r="K6" s="28" t="s">
        <v>230</v>
      </c>
      <c r="L6" s="28" t="s">
        <v>233</v>
      </c>
      <c r="M6" s="28" t="s">
        <v>44</v>
      </c>
      <c r="N6" s="28" t="s">
        <v>45</v>
      </c>
      <c r="O6" s="28" t="s">
        <v>46</v>
      </c>
      <c r="P6" s="28" t="s">
        <v>47</v>
      </c>
      <c r="Q6" s="28" t="s">
        <v>47</v>
      </c>
      <c r="R6" s="28" t="s">
        <v>48</v>
      </c>
      <c r="S6" s="28" t="s">
        <v>208</v>
      </c>
      <c r="T6" s="28" t="s">
        <v>47</v>
      </c>
      <c r="U6" s="28" t="s">
        <v>47</v>
      </c>
      <c r="V6" s="28" t="s">
        <v>47</v>
      </c>
      <c r="W6" s="28" t="s">
        <v>47</v>
      </c>
      <c r="X6" s="28" t="s">
        <v>47</v>
      </c>
      <c r="Y6" s="28" t="s">
        <v>49</v>
      </c>
      <c r="Z6" s="28" t="s">
        <v>47</v>
      </c>
      <c r="AA6" s="28" t="s">
        <v>229</v>
      </c>
      <c r="AB6" s="28" t="s">
        <v>50</v>
      </c>
      <c r="AC6" s="28" t="s">
        <v>47</v>
      </c>
      <c r="AD6" s="28" t="s">
        <v>47</v>
      </c>
      <c r="AE6" s="28" t="s">
        <v>47</v>
      </c>
      <c r="AF6" s="28" t="s">
        <v>51</v>
      </c>
      <c r="AG6" s="28">
        <f>COUNTA(D6:AF6) - COUNTIF(D6:AF6, "No menciona")</f>
        <v>28</v>
      </c>
      <c r="AH6"/>
      <c r="AI6"/>
      <c r="AJ6"/>
      <c r="AK6"/>
      <c r="AL6"/>
      <c r="AM6"/>
      <c r="AN6"/>
      <c r="AO6"/>
      <c r="AP6"/>
      <c r="AQ6"/>
      <c r="AR6"/>
      <c r="AS6"/>
      <c r="AT6"/>
      <c r="AU6"/>
      <c r="AV6"/>
      <c r="AW6"/>
      <c r="AX6"/>
    </row>
    <row r="7" spans="1:50" s="2" customFormat="1" x14ac:dyDescent="0.25">
      <c r="B7" s="2">
        <v>3</v>
      </c>
      <c r="C7" s="28" t="s">
        <v>52</v>
      </c>
      <c r="D7" s="28" t="s">
        <v>233</v>
      </c>
      <c r="E7" s="28" t="s">
        <v>53</v>
      </c>
      <c r="F7" s="28" t="s">
        <v>53</v>
      </c>
      <c r="G7" s="28" t="s">
        <v>233</v>
      </c>
      <c r="H7" s="28" t="s">
        <v>233</v>
      </c>
      <c r="I7" s="29" t="s">
        <v>54</v>
      </c>
      <c r="J7" s="28" t="s">
        <v>233</v>
      </c>
      <c r="K7" s="28" t="s">
        <v>54</v>
      </c>
      <c r="L7" s="28" t="s">
        <v>233</v>
      </c>
      <c r="M7" s="28" t="s">
        <v>54</v>
      </c>
      <c r="N7" s="28" t="s">
        <v>233</v>
      </c>
      <c r="O7" s="28" t="s">
        <v>233</v>
      </c>
      <c r="P7" s="28" t="s">
        <v>53</v>
      </c>
      <c r="Q7" s="28" t="s">
        <v>55</v>
      </c>
      <c r="R7" s="28" t="s">
        <v>53</v>
      </c>
      <c r="S7" s="28" t="s">
        <v>56</v>
      </c>
      <c r="T7" s="28" t="s">
        <v>57</v>
      </c>
      <c r="U7" s="28" t="s">
        <v>233</v>
      </c>
      <c r="V7" s="28" t="s">
        <v>57</v>
      </c>
      <c r="W7" s="28" t="s">
        <v>53</v>
      </c>
      <c r="X7" s="28" t="s">
        <v>233</v>
      </c>
      <c r="Y7" s="28" t="s">
        <v>55</v>
      </c>
      <c r="Z7" s="28" t="s">
        <v>233</v>
      </c>
      <c r="AA7" s="28" t="s">
        <v>55</v>
      </c>
      <c r="AB7" s="28" t="s">
        <v>53</v>
      </c>
      <c r="AC7" s="28" t="s">
        <v>233</v>
      </c>
      <c r="AD7" s="28" t="s">
        <v>233</v>
      </c>
      <c r="AE7" s="28" t="s">
        <v>54</v>
      </c>
      <c r="AF7" s="28" t="s">
        <v>233</v>
      </c>
      <c r="AG7" s="28">
        <f t="shared" ref="AG7:AG29" si="0">COUNTA(D7:AF7) - COUNTIF(D7:AF7, "No menciona")</f>
        <v>16</v>
      </c>
      <c r="AI7" s="2" t="s">
        <v>54</v>
      </c>
      <c r="AJ7" s="2" cm="1">
        <f t="array" ref="AJ7">SUMPRODUCT(--ISNUMBER(SEARCH("zumbador", D7:AF7)))</f>
        <v>13</v>
      </c>
      <c r="AK7" s="2" t="s">
        <v>58</v>
      </c>
      <c r="AL7" s="2" cm="1">
        <f t="array" ref="AL7">SUMPRODUCT(--ISNUMBER(SEARCH("altavoz", D7:AF7)))</f>
        <v>4</v>
      </c>
    </row>
    <row r="8" spans="1:50" s="2" customFormat="1" x14ac:dyDescent="0.25">
      <c r="B8">
        <v>4</v>
      </c>
      <c r="C8" s="28" t="s">
        <v>59</v>
      </c>
      <c r="D8" s="28" t="s">
        <v>233</v>
      </c>
      <c r="E8" s="28" t="s">
        <v>233</v>
      </c>
      <c r="F8" s="28" t="s">
        <v>233</v>
      </c>
      <c r="G8" s="28" t="s">
        <v>233</v>
      </c>
      <c r="H8" s="28" t="s">
        <v>233</v>
      </c>
      <c r="I8" s="28" t="s">
        <v>233</v>
      </c>
      <c r="J8" s="28" t="s">
        <v>233</v>
      </c>
      <c r="K8" s="28" t="s">
        <v>233</v>
      </c>
      <c r="L8" s="28" t="s">
        <v>233</v>
      </c>
      <c r="M8" s="28" t="s">
        <v>233</v>
      </c>
      <c r="N8" s="28" t="s">
        <v>233</v>
      </c>
      <c r="O8" s="28" t="s">
        <v>233</v>
      </c>
      <c r="P8" s="28" t="s">
        <v>233</v>
      </c>
      <c r="Q8" s="28" t="s">
        <v>233</v>
      </c>
      <c r="R8" s="28" t="s">
        <v>60</v>
      </c>
      <c r="S8" s="28" t="s">
        <v>233</v>
      </c>
      <c r="T8" s="28" t="s">
        <v>233</v>
      </c>
      <c r="U8" s="28" t="s">
        <v>233</v>
      </c>
      <c r="V8" s="28" t="s">
        <v>189</v>
      </c>
      <c r="W8" s="28" t="s">
        <v>233</v>
      </c>
      <c r="X8" s="28" t="s">
        <v>233</v>
      </c>
      <c r="Y8" s="28" t="s">
        <v>233</v>
      </c>
      <c r="Z8" s="28" t="s">
        <v>233</v>
      </c>
      <c r="AA8" s="28" t="s">
        <v>233</v>
      </c>
      <c r="AB8" s="28" t="s">
        <v>233</v>
      </c>
      <c r="AC8" s="28" t="s">
        <v>233</v>
      </c>
      <c r="AD8" s="28" t="s">
        <v>233</v>
      </c>
      <c r="AE8" s="28" t="s">
        <v>233</v>
      </c>
      <c r="AF8" s="28" t="s">
        <v>233</v>
      </c>
      <c r="AG8" s="28">
        <f t="shared" si="0"/>
        <v>2</v>
      </c>
    </row>
    <row r="9" spans="1:50" s="2" customFormat="1" x14ac:dyDescent="0.25">
      <c r="B9">
        <v>5</v>
      </c>
      <c r="C9" s="28" t="s">
        <v>61</v>
      </c>
      <c r="D9" s="28" t="s">
        <v>233</v>
      </c>
      <c r="E9" s="28" t="s">
        <v>233</v>
      </c>
      <c r="F9" s="28" t="s">
        <v>233</v>
      </c>
      <c r="G9" s="28" t="s">
        <v>233</v>
      </c>
      <c r="H9" s="28" t="s">
        <v>189</v>
      </c>
      <c r="I9" s="29" t="s">
        <v>60</v>
      </c>
      <c r="J9" s="28" t="s">
        <v>233</v>
      </c>
      <c r="K9" s="28" t="s">
        <v>233</v>
      </c>
      <c r="L9" s="28" t="s">
        <v>233</v>
      </c>
      <c r="M9" s="28" t="s">
        <v>60</v>
      </c>
      <c r="N9" s="28" t="s">
        <v>233</v>
      </c>
      <c r="O9" s="28" t="s">
        <v>233</v>
      </c>
      <c r="P9" s="28" t="s">
        <v>233</v>
      </c>
      <c r="Q9" s="28" t="s">
        <v>233</v>
      </c>
      <c r="R9" s="28" t="s">
        <v>233</v>
      </c>
      <c r="S9" s="28" t="s">
        <v>60</v>
      </c>
      <c r="T9" s="28" t="s">
        <v>233</v>
      </c>
      <c r="U9" s="28" t="s">
        <v>233</v>
      </c>
      <c r="V9" s="28" t="s">
        <v>218</v>
      </c>
      <c r="W9" s="28" t="s">
        <v>233</v>
      </c>
      <c r="X9" s="28" t="s">
        <v>233</v>
      </c>
      <c r="Y9" s="28" t="s">
        <v>218</v>
      </c>
      <c r="Z9" s="28" t="s">
        <v>233</v>
      </c>
      <c r="AA9" s="28" t="s">
        <v>233</v>
      </c>
      <c r="AB9" s="28" t="s">
        <v>233</v>
      </c>
      <c r="AC9" s="28" t="s">
        <v>233</v>
      </c>
      <c r="AD9" s="28" t="s">
        <v>233</v>
      </c>
      <c r="AE9" s="28" t="s">
        <v>233</v>
      </c>
      <c r="AF9" s="28" t="s">
        <v>233</v>
      </c>
      <c r="AG9" s="28">
        <f t="shared" si="0"/>
        <v>6</v>
      </c>
    </row>
    <row r="10" spans="1:50" s="2" customFormat="1" x14ac:dyDescent="0.25">
      <c r="B10" s="2">
        <v>6</v>
      </c>
      <c r="C10" s="28" t="s">
        <v>241</v>
      </c>
      <c r="D10" s="28" t="s">
        <v>36</v>
      </c>
      <c r="E10" s="28" t="s">
        <v>62</v>
      </c>
      <c r="F10" s="28" t="s">
        <v>233</v>
      </c>
      <c r="G10" s="28" t="s">
        <v>233</v>
      </c>
      <c r="H10" s="28" t="s">
        <v>62</v>
      </c>
      <c r="I10" s="29" t="s">
        <v>36</v>
      </c>
      <c r="J10" s="28" t="s">
        <v>63</v>
      </c>
      <c r="K10" s="28" t="s">
        <v>62</v>
      </c>
      <c r="L10" s="28" t="s">
        <v>233</v>
      </c>
      <c r="M10" s="28" t="s">
        <v>64</v>
      </c>
      <c r="N10" s="28" t="s">
        <v>233</v>
      </c>
      <c r="O10" s="28" t="s">
        <v>36</v>
      </c>
      <c r="P10" s="28" t="s">
        <v>233</v>
      </c>
      <c r="Q10" s="28" t="s">
        <v>62</v>
      </c>
      <c r="R10" s="28" t="s">
        <v>36</v>
      </c>
      <c r="S10" s="28" t="s">
        <v>62</v>
      </c>
      <c r="T10" s="28" t="s">
        <v>36</v>
      </c>
      <c r="U10" s="28" t="s">
        <v>233</v>
      </c>
      <c r="V10" s="28" t="s">
        <v>36</v>
      </c>
      <c r="W10" s="28" t="s">
        <v>233</v>
      </c>
      <c r="X10" s="28" t="s">
        <v>65</v>
      </c>
      <c r="Y10" s="28" t="s">
        <v>64</v>
      </c>
      <c r="Z10" s="28" t="s">
        <v>233</v>
      </c>
      <c r="AA10" s="28" t="s">
        <v>233</v>
      </c>
      <c r="AB10" s="28" t="s">
        <v>233</v>
      </c>
      <c r="AC10" s="28" t="s">
        <v>36</v>
      </c>
      <c r="AD10" s="28" t="s">
        <v>233</v>
      </c>
      <c r="AE10" s="28" t="s">
        <v>62</v>
      </c>
      <c r="AF10" s="28" t="s">
        <v>62</v>
      </c>
      <c r="AG10" s="28">
        <f t="shared" si="0"/>
        <v>18</v>
      </c>
      <c r="AI10" s="28" t="s">
        <v>36</v>
      </c>
      <c r="AJ10" s="2" cm="1">
        <f t="array" ref="AJ10">SUMPRODUCT(--ISNUMBER(SEARCH("App móvil", D10:AF10)))</f>
        <v>7</v>
      </c>
      <c r="AK10" s="2" t="s">
        <v>62</v>
      </c>
      <c r="AL10" s="2" cm="1">
        <f t="array" ref="AL10">SUMPRODUCT(--ISNUMBER(SEARCH("sms", D10:AF10)))</f>
        <v>7</v>
      </c>
      <c r="AM10" s="2" t="s">
        <v>64</v>
      </c>
      <c r="AN10" s="2" cm="1">
        <f t="array" ref="AN10">SUMPRODUCT(--ISNUMBER(SEARCH("correo", D10:AF10)))</f>
        <v>2</v>
      </c>
      <c r="AO10" s="2" t="s">
        <v>66</v>
      </c>
      <c r="AP10" s="2">
        <v>1</v>
      </c>
      <c r="AQ10" s="2" t="s">
        <v>67</v>
      </c>
      <c r="AR10" s="2">
        <v>1</v>
      </c>
    </row>
    <row r="11" spans="1:50" s="2" customFormat="1" x14ac:dyDescent="0.25">
      <c r="A11" s="2" t="s">
        <v>68</v>
      </c>
      <c r="B11">
        <v>7</v>
      </c>
      <c r="C11" s="28" t="s">
        <v>69</v>
      </c>
      <c r="D11" s="28" t="s">
        <v>70</v>
      </c>
      <c r="E11" s="28" t="s">
        <v>233</v>
      </c>
      <c r="F11" s="28" t="s">
        <v>233</v>
      </c>
      <c r="G11" s="28" t="s">
        <v>233</v>
      </c>
      <c r="H11" s="28" t="s">
        <v>71</v>
      </c>
      <c r="I11" s="29" t="s">
        <v>70</v>
      </c>
      <c r="J11" s="28" t="s">
        <v>70</v>
      </c>
      <c r="K11" s="28" t="s">
        <v>71</v>
      </c>
      <c r="L11" s="28" t="s">
        <v>233</v>
      </c>
      <c r="M11" s="28" t="s">
        <v>71</v>
      </c>
      <c r="N11" s="28" t="s">
        <v>233</v>
      </c>
      <c r="O11" s="28" t="s">
        <v>233</v>
      </c>
      <c r="P11" s="28" t="s">
        <v>233</v>
      </c>
      <c r="Q11" s="28" t="s">
        <v>70</v>
      </c>
      <c r="R11" s="28" t="s">
        <v>72</v>
      </c>
      <c r="S11" s="28" t="s">
        <v>72</v>
      </c>
      <c r="T11" s="28" t="s">
        <v>70</v>
      </c>
      <c r="U11" s="28" t="s">
        <v>70</v>
      </c>
      <c r="V11" s="28" t="s">
        <v>70</v>
      </c>
      <c r="W11" s="28" t="s">
        <v>70</v>
      </c>
      <c r="X11" s="28" t="s">
        <v>70</v>
      </c>
      <c r="Y11" s="28" t="s">
        <v>71</v>
      </c>
      <c r="Z11" s="28" t="s">
        <v>70</v>
      </c>
      <c r="AA11" s="28" t="s">
        <v>70</v>
      </c>
      <c r="AB11" s="28" t="s">
        <v>70</v>
      </c>
      <c r="AC11" s="28" t="s">
        <v>72</v>
      </c>
      <c r="AD11" s="28" t="s">
        <v>73</v>
      </c>
      <c r="AE11" s="28" t="s">
        <v>70</v>
      </c>
      <c r="AF11" s="28" t="s">
        <v>71</v>
      </c>
      <c r="AG11" s="28">
        <f t="shared" si="0"/>
        <v>22</v>
      </c>
      <c r="AI11" s="2" t="s">
        <v>70</v>
      </c>
      <c r="AJ11" s="2" cm="1">
        <f t="array" ref="AJ11">SUMPRODUCT(--ISNUMBER(SEARCH("nube", D11:AF11)))</f>
        <v>13</v>
      </c>
      <c r="AK11" s="2" t="s">
        <v>72</v>
      </c>
      <c r="AL11" s="2" cm="1">
        <f t="array" ref="AL11">SUMPRODUCT(--ISNUMBER(SEARCH("borde", D11:AF11)))</f>
        <v>9</v>
      </c>
    </row>
    <row r="12" spans="1:50" s="2" customFormat="1" x14ac:dyDescent="0.25">
      <c r="B12">
        <v>8</v>
      </c>
      <c r="C12" s="28" t="s">
        <v>74</v>
      </c>
      <c r="D12" s="28" t="s">
        <v>233</v>
      </c>
      <c r="E12" s="28" t="s">
        <v>75</v>
      </c>
      <c r="F12" s="28" t="s">
        <v>75</v>
      </c>
      <c r="G12" s="28" t="s">
        <v>75</v>
      </c>
      <c r="H12" s="28" t="s">
        <v>191</v>
      </c>
      <c r="I12" s="29" t="s">
        <v>75</v>
      </c>
      <c r="J12" s="28" t="s">
        <v>75</v>
      </c>
      <c r="K12" s="28" t="s">
        <v>76</v>
      </c>
      <c r="L12" s="28" t="s">
        <v>233</v>
      </c>
      <c r="M12" s="28" t="s">
        <v>233</v>
      </c>
      <c r="N12" s="28" t="s">
        <v>233</v>
      </c>
      <c r="O12" s="28" t="s">
        <v>233</v>
      </c>
      <c r="P12" s="28" t="s">
        <v>233</v>
      </c>
      <c r="Q12" s="28" t="s">
        <v>75</v>
      </c>
      <c r="R12" s="28" t="s">
        <v>75</v>
      </c>
      <c r="S12" s="2" t="s">
        <v>75</v>
      </c>
      <c r="T12" s="28" t="s">
        <v>75</v>
      </c>
      <c r="U12" s="28" t="s">
        <v>233</v>
      </c>
      <c r="V12" s="28" t="s">
        <v>233</v>
      </c>
      <c r="W12" s="28" t="s">
        <v>75</v>
      </c>
      <c r="X12" s="28" t="s">
        <v>233</v>
      </c>
      <c r="Y12" s="28" t="s">
        <v>233</v>
      </c>
      <c r="Z12" s="28" t="s">
        <v>77</v>
      </c>
      <c r="AA12" s="28" t="s">
        <v>233</v>
      </c>
      <c r="AB12" s="28" t="s">
        <v>75</v>
      </c>
      <c r="AC12" s="28" t="s">
        <v>75</v>
      </c>
      <c r="AD12" s="28" t="s">
        <v>78</v>
      </c>
      <c r="AE12" s="28" t="s">
        <v>233</v>
      </c>
      <c r="AF12" s="28" t="s">
        <v>75</v>
      </c>
      <c r="AG12" s="28">
        <f t="shared" si="0"/>
        <v>17</v>
      </c>
      <c r="AI12" s="2" t="s">
        <v>75</v>
      </c>
      <c r="AJ12" s="2" cm="1">
        <f t="array" ref="AJ12">SUMPRODUCT(--ISNUMBER(SEARCH("LCD", D12:AF12)))</f>
        <v>14</v>
      </c>
      <c r="AL12" s="2" cm="1">
        <f t="array" ref="AL12">SUMPRODUCT(--ISNUMBER(SEARCH("borde", D12:AF12)))</f>
        <v>0</v>
      </c>
    </row>
    <row r="13" spans="1:50" s="2" customFormat="1" x14ac:dyDescent="0.25">
      <c r="B13" s="2">
        <v>9</v>
      </c>
      <c r="C13" s="28" t="s">
        <v>79</v>
      </c>
      <c r="D13" s="28" t="s">
        <v>233</v>
      </c>
      <c r="E13" s="28" t="s">
        <v>233</v>
      </c>
      <c r="F13" s="28" t="s">
        <v>80</v>
      </c>
      <c r="G13" s="28" t="s">
        <v>233</v>
      </c>
      <c r="H13" s="28" t="s">
        <v>233</v>
      </c>
      <c r="I13" s="29" t="s">
        <v>80</v>
      </c>
      <c r="J13" s="28" t="s">
        <v>233</v>
      </c>
      <c r="K13" s="28" t="s">
        <v>80</v>
      </c>
      <c r="L13" s="28" t="s">
        <v>233</v>
      </c>
      <c r="M13" s="28" t="s">
        <v>80</v>
      </c>
      <c r="N13" s="28" t="s">
        <v>233</v>
      </c>
      <c r="O13" s="28" t="s">
        <v>233</v>
      </c>
      <c r="P13" s="2" t="s">
        <v>80</v>
      </c>
      <c r="Q13" s="28" t="s">
        <v>80</v>
      </c>
      <c r="R13" s="28" t="s">
        <v>80</v>
      </c>
      <c r="S13" s="28" t="s">
        <v>80</v>
      </c>
      <c r="T13" s="28" t="s">
        <v>80</v>
      </c>
      <c r="U13" s="28" t="s">
        <v>233</v>
      </c>
      <c r="V13" s="28" t="s">
        <v>80</v>
      </c>
      <c r="W13" s="28" t="s">
        <v>233</v>
      </c>
      <c r="X13" s="28" t="s">
        <v>233</v>
      </c>
      <c r="Y13" s="28" t="s">
        <v>80</v>
      </c>
      <c r="Z13" s="28" t="s">
        <v>233</v>
      </c>
      <c r="AA13" s="28" t="s">
        <v>80</v>
      </c>
      <c r="AB13" s="28" t="s">
        <v>80</v>
      </c>
      <c r="AC13" s="28" t="s">
        <v>233</v>
      </c>
      <c r="AD13" s="28" t="s">
        <v>233</v>
      </c>
      <c r="AE13" s="28" t="s">
        <v>80</v>
      </c>
      <c r="AF13" s="28" t="s">
        <v>233</v>
      </c>
      <c r="AG13" s="28">
        <f t="shared" si="0"/>
        <v>14</v>
      </c>
      <c r="AI13" s="2" t="s">
        <v>80</v>
      </c>
      <c r="AJ13" s="2" cm="1">
        <f t="array" ref="AJ13">SUMPRODUCT(--ISNUMBER(SEARCH("LED", D13:AF13)))</f>
        <v>14</v>
      </c>
      <c r="AL13" s="2" cm="1">
        <f t="array" ref="AL13">SUMPRODUCT(--ISNUMBER(SEARCH("borde", D13:AF13)))</f>
        <v>0</v>
      </c>
    </row>
    <row r="14" spans="1:50" s="19" customFormat="1" ht="30" x14ac:dyDescent="0.25">
      <c r="B14">
        <v>10</v>
      </c>
      <c r="C14" s="20" t="s">
        <v>81</v>
      </c>
      <c r="D14" s="20" t="s">
        <v>82</v>
      </c>
      <c r="E14" s="20" t="s">
        <v>83</v>
      </c>
      <c r="F14" s="28" t="s">
        <v>233</v>
      </c>
      <c r="G14" s="20" t="s">
        <v>84</v>
      </c>
      <c r="H14" s="20" t="s">
        <v>190</v>
      </c>
      <c r="I14" s="21" t="s">
        <v>85</v>
      </c>
      <c r="J14" s="20" t="s">
        <v>86</v>
      </c>
      <c r="K14" s="28" t="s">
        <v>233</v>
      </c>
      <c r="L14" s="28" t="s">
        <v>233</v>
      </c>
      <c r="M14" s="20" t="s">
        <v>87</v>
      </c>
      <c r="N14" s="20" t="s">
        <v>88</v>
      </c>
      <c r="O14" s="28" t="s">
        <v>233</v>
      </c>
      <c r="P14" s="20" t="s">
        <v>89</v>
      </c>
      <c r="Q14" s="28" t="s">
        <v>233</v>
      </c>
      <c r="R14" s="20" t="s">
        <v>84</v>
      </c>
      <c r="S14" s="20" t="s">
        <v>84</v>
      </c>
      <c r="T14" s="28" t="s">
        <v>233</v>
      </c>
      <c r="U14" s="20" t="s">
        <v>90</v>
      </c>
      <c r="V14" s="20" t="s">
        <v>88</v>
      </c>
      <c r="W14" s="20" t="s">
        <v>88</v>
      </c>
      <c r="X14" s="28" t="s">
        <v>233</v>
      </c>
      <c r="Y14" s="28" t="s">
        <v>233</v>
      </c>
      <c r="Z14" s="20" t="s">
        <v>91</v>
      </c>
      <c r="AA14" s="21" t="s">
        <v>92</v>
      </c>
      <c r="AB14" s="20" t="s">
        <v>84</v>
      </c>
      <c r="AC14" s="20" t="s">
        <v>227</v>
      </c>
      <c r="AD14" s="28" t="s">
        <v>233</v>
      </c>
      <c r="AE14" s="28" t="s">
        <v>233</v>
      </c>
      <c r="AF14" s="20" t="s">
        <v>84</v>
      </c>
      <c r="AG14" s="28">
        <f>COUNTA(D14:AF14) - COUNTIF(D14:AF14, "No menciona")</f>
        <v>19</v>
      </c>
      <c r="AI14" s="19" t="s">
        <v>93</v>
      </c>
      <c r="AJ14" s="19" cm="1">
        <f t="array" ref="AJ14">SUMPRODUCT(--ISNUMBER(SEARCH("LED", D14:AF14)))</f>
        <v>0</v>
      </c>
      <c r="AL14" s="19" cm="1">
        <f t="array" ref="AL14">SUMPRODUCT(--ISNUMBER(SEARCH("borde", D14:AF14)))</f>
        <v>0</v>
      </c>
    </row>
    <row r="15" spans="1:50" s="19" customFormat="1" ht="30" x14ac:dyDescent="0.25">
      <c r="B15">
        <v>11</v>
      </c>
      <c r="C15" s="20" t="s">
        <v>94</v>
      </c>
      <c r="D15" s="20" t="s">
        <v>95</v>
      </c>
      <c r="E15" s="20" t="s">
        <v>96</v>
      </c>
      <c r="F15" s="20" t="s">
        <v>186</v>
      </c>
      <c r="G15" s="20" t="s">
        <v>188</v>
      </c>
      <c r="H15" s="19" t="s">
        <v>186</v>
      </c>
      <c r="I15" s="21" t="s">
        <v>193</v>
      </c>
      <c r="J15" s="21" t="s">
        <v>196</v>
      </c>
      <c r="K15" s="20" t="s">
        <v>199</v>
      </c>
      <c r="L15" s="28" t="s">
        <v>233</v>
      </c>
      <c r="M15" s="20" t="s">
        <v>186</v>
      </c>
      <c r="N15" s="20" t="s">
        <v>98</v>
      </c>
      <c r="O15" s="20" t="s">
        <v>203</v>
      </c>
      <c r="P15" s="20" t="s">
        <v>186</v>
      </c>
      <c r="Q15" s="20" t="s">
        <v>186</v>
      </c>
      <c r="R15" s="20" t="s">
        <v>210</v>
      </c>
      <c r="S15" s="20" t="s">
        <v>213</v>
      </c>
      <c r="T15" s="20" t="s">
        <v>99</v>
      </c>
      <c r="U15" s="20" t="s">
        <v>186</v>
      </c>
      <c r="V15" s="20" t="s">
        <v>186</v>
      </c>
      <c r="W15" s="20" t="s">
        <v>186</v>
      </c>
      <c r="X15" s="20" t="s">
        <v>221</v>
      </c>
      <c r="Y15" s="20" t="s">
        <v>148</v>
      </c>
      <c r="Z15" s="20" t="s">
        <v>186</v>
      </c>
      <c r="AA15" s="20" t="s">
        <v>186</v>
      </c>
      <c r="AB15" s="20" t="s">
        <v>186</v>
      </c>
      <c r="AC15" s="20" t="s">
        <v>186</v>
      </c>
      <c r="AD15" s="20" t="s">
        <v>186</v>
      </c>
      <c r="AE15" s="20" t="s">
        <v>186</v>
      </c>
      <c r="AF15" s="20" t="s">
        <v>148</v>
      </c>
      <c r="AG15" s="28">
        <f t="shared" si="0"/>
        <v>28</v>
      </c>
      <c r="AI15" s="19" t="s">
        <v>93</v>
      </c>
      <c r="AJ15" s="19" cm="1">
        <f t="array" ref="AJ15">SUMPRODUCT(--ISNUMBER(SEARCH("LED", D15:AF15)))</f>
        <v>0</v>
      </c>
      <c r="AL15" s="19" cm="1">
        <f t="array" ref="AL15">SUMPRODUCT(--ISNUMBER(SEARCH("borde", D15:AF15)))</f>
        <v>0</v>
      </c>
    </row>
    <row r="16" spans="1:50" s="19" customFormat="1" ht="30" x14ac:dyDescent="0.25">
      <c r="B16" s="2">
        <v>12</v>
      </c>
      <c r="C16" s="20" t="s">
        <v>100</v>
      </c>
      <c r="D16" s="20" t="s">
        <v>101</v>
      </c>
      <c r="E16" s="20" t="s">
        <v>185</v>
      </c>
      <c r="F16" s="20" t="s">
        <v>187</v>
      </c>
      <c r="G16" s="28" t="s">
        <v>233</v>
      </c>
      <c r="H16" s="20" t="s">
        <v>97</v>
      </c>
      <c r="I16" s="21" t="s">
        <v>194</v>
      </c>
      <c r="J16" s="20" t="s">
        <v>197</v>
      </c>
      <c r="K16" s="20" t="s">
        <v>200</v>
      </c>
      <c r="L16" s="28" t="s">
        <v>233</v>
      </c>
      <c r="M16" s="28" t="s">
        <v>233</v>
      </c>
      <c r="N16" s="28" t="s">
        <v>233</v>
      </c>
      <c r="O16" s="20" t="s">
        <v>204</v>
      </c>
      <c r="P16" s="20" t="s">
        <v>197</v>
      </c>
      <c r="Q16" s="20" t="s">
        <v>206</v>
      </c>
      <c r="R16" s="19" t="s">
        <v>211</v>
      </c>
      <c r="S16" s="20" t="s">
        <v>212</v>
      </c>
      <c r="T16" s="20" t="s">
        <v>214</v>
      </c>
      <c r="U16" s="20" t="s">
        <v>216</v>
      </c>
      <c r="V16" s="20" t="s">
        <v>217</v>
      </c>
      <c r="W16" s="21" t="s">
        <v>220</v>
      </c>
      <c r="X16" s="20" t="s">
        <v>222</v>
      </c>
      <c r="Y16" s="20" t="s">
        <v>222</v>
      </c>
      <c r="Z16" s="19" t="s">
        <v>222</v>
      </c>
      <c r="AA16" s="20" t="s">
        <v>225</v>
      </c>
      <c r="AB16" s="20" t="s">
        <v>226</v>
      </c>
      <c r="AC16" s="20" t="s">
        <v>228</v>
      </c>
      <c r="AD16" s="20" t="s">
        <v>228</v>
      </c>
      <c r="AE16" s="20" t="s">
        <v>226</v>
      </c>
      <c r="AF16" s="20" t="s">
        <v>226</v>
      </c>
      <c r="AG16" s="28">
        <f t="shared" si="0"/>
        <v>25</v>
      </c>
    </row>
    <row r="17" spans="1:50" s="19" customFormat="1" x14ac:dyDescent="0.25">
      <c r="B17">
        <v>14</v>
      </c>
      <c r="C17" s="20" t="s">
        <v>102</v>
      </c>
      <c r="D17" s="20" t="s">
        <v>101</v>
      </c>
      <c r="E17" s="28" t="s">
        <v>233</v>
      </c>
      <c r="F17" s="28" t="s">
        <v>233</v>
      </c>
      <c r="G17" s="20" t="s">
        <v>103</v>
      </c>
      <c r="H17" s="20" t="s">
        <v>98</v>
      </c>
      <c r="I17" s="21" t="s">
        <v>99</v>
      </c>
      <c r="J17" s="20" t="s">
        <v>101</v>
      </c>
      <c r="K17" s="28" t="s">
        <v>233</v>
      </c>
      <c r="L17" s="28" t="s">
        <v>233</v>
      </c>
      <c r="M17" s="20" t="s">
        <v>104</v>
      </c>
      <c r="N17" s="28" t="s">
        <v>233</v>
      </c>
      <c r="O17" s="28" t="s">
        <v>233</v>
      </c>
      <c r="P17" s="20" t="s">
        <v>205</v>
      </c>
      <c r="Q17" s="20" t="s">
        <v>99</v>
      </c>
      <c r="R17" s="20" t="s">
        <v>99</v>
      </c>
      <c r="S17" s="20" t="s">
        <v>101</v>
      </c>
      <c r="T17" s="20" t="s">
        <v>99</v>
      </c>
      <c r="U17" s="28" t="s">
        <v>233</v>
      </c>
      <c r="V17" s="28" t="s">
        <v>233</v>
      </c>
      <c r="W17" s="28" t="s">
        <v>233</v>
      </c>
      <c r="X17" s="28" t="s">
        <v>233</v>
      </c>
      <c r="Y17" s="20" t="s">
        <v>99</v>
      </c>
      <c r="Z17" s="20" t="s">
        <v>224</v>
      </c>
      <c r="AA17" s="20"/>
      <c r="AB17" s="20" t="s">
        <v>99</v>
      </c>
      <c r="AC17" s="20" t="s">
        <v>224</v>
      </c>
      <c r="AD17" s="20" t="s">
        <v>224</v>
      </c>
      <c r="AE17" s="28" t="s">
        <v>233</v>
      </c>
      <c r="AF17" s="28" t="s">
        <v>233</v>
      </c>
      <c r="AG17" s="28">
        <f t="shared" si="0"/>
        <v>16</v>
      </c>
      <c r="AI17" s="19" t="s">
        <v>93</v>
      </c>
      <c r="AJ17" s="19" cm="1">
        <f t="array" ref="AJ17">SUMPRODUCT(--ISNUMBER(SEARCH("LED", D17:AF17)))</f>
        <v>0</v>
      </c>
      <c r="AL17" s="19" cm="1">
        <f t="array" ref="AL17">SUMPRODUCT(--ISNUMBER(SEARCH("borde", D17:AF17)))</f>
        <v>0</v>
      </c>
    </row>
    <row r="18" spans="1:50" s="19" customFormat="1" x14ac:dyDescent="0.25">
      <c r="B18" s="2">
        <v>15</v>
      </c>
      <c r="C18" s="20" t="s">
        <v>105</v>
      </c>
      <c r="D18" s="28" t="s">
        <v>233</v>
      </c>
      <c r="E18" s="28" t="s">
        <v>233</v>
      </c>
      <c r="F18" s="28" t="s">
        <v>233</v>
      </c>
      <c r="G18" s="20" t="s">
        <v>106</v>
      </c>
      <c r="H18" s="20" t="s">
        <v>107</v>
      </c>
      <c r="I18" s="28" t="s">
        <v>233</v>
      </c>
      <c r="J18" s="28" t="s">
        <v>233</v>
      </c>
      <c r="K18" s="28" t="s">
        <v>233</v>
      </c>
      <c r="L18" s="20" t="s">
        <v>233</v>
      </c>
      <c r="M18" s="20" t="s">
        <v>99</v>
      </c>
      <c r="N18" s="20" t="s">
        <v>99</v>
      </c>
      <c r="O18" s="20" t="s">
        <v>101</v>
      </c>
      <c r="P18" s="28" t="s">
        <v>233</v>
      </c>
      <c r="Q18" s="28" t="s">
        <v>233</v>
      </c>
      <c r="R18" s="20" t="s">
        <v>99</v>
      </c>
      <c r="S18" s="28" t="s">
        <v>233</v>
      </c>
      <c r="T18" s="20" t="s">
        <v>99</v>
      </c>
      <c r="U18" s="28" t="s">
        <v>233</v>
      </c>
      <c r="V18" s="28" t="s">
        <v>233</v>
      </c>
      <c r="W18" s="28" t="s">
        <v>233</v>
      </c>
      <c r="X18" s="28" t="s">
        <v>233</v>
      </c>
      <c r="Y18" s="20" t="s">
        <v>99</v>
      </c>
      <c r="Z18" s="28" t="s">
        <v>233</v>
      </c>
      <c r="AA18" s="20" t="s">
        <v>99</v>
      </c>
      <c r="AB18" s="28" t="s">
        <v>233</v>
      </c>
      <c r="AC18" s="28" t="s">
        <v>233</v>
      </c>
      <c r="AD18" s="20" t="s">
        <v>99</v>
      </c>
      <c r="AE18" s="28" t="s">
        <v>233</v>
      </c>
      <c r="AF18" s="28" t="s">
        <v>233</v>
      </c>
      <c r="AG18" s="28">
        <f t="shared" si="0"/>
        <v>10</v>
      </c>
      <c r="AI18" s="19" t="s">
        <v>93</v>
      </c>
      <c r="AJ18" s="19" cm="1">
        <f t="array" ref="AJ18">SUMPRODUCT(--ISNUMBER(SEARCH("LED", D18:AF18)))</f>
        <v>0</v>
      </c>
      <c r="AL18" s="19" cm="1">
        <f t="array" ref="AL18">SUMPRODUCT(--ISNUMBER(SEARCH("borde", D18:AF18)))</f>
        <v>0</v>
      </c>
    </row>
    <row r="19" spans="1:50" s="19" customFormat="1" x14ac:dyDescent="0.25">
      <c r="A19" s="26"/>
      <c r="B19">
        <v>16</v>
      </c>
      <c r="C19" s="20" t="s">
        <v>108</v>
      </c>
      <c r="D19" s="28" t="s">
        <v>233</v>
      </c>
      <c r="E19" s="28" t="s">
        <v>233</v>
      </c>
      <c r="F19" s="20" t="s">
        <v>109</v>
      </c>
      <c r="G19" s="20" t="s">
        <v>110</v>
      </c>
      <c r="H19" s="20" t="s">
        <v>111</v>
      </c>
      <c r="I19" s="21" t="s">
        <v>112</v>
      </c>
      <c r="J19" s="28" t="s">
        <v>233</v>
      </c>
      <c r="K19" s="28" t="s">
        <v>233</v>
      </c>
      <c r="L19" s="28" t="s">
        <v>233</v>
      </c>
      <c r="M19" s="28" t="s">
        <v>233</v>
      </c>
      <c r="N19" s="28" t="s">
        <v>233</v>
      </c>
      <c r="O19" s="20" t="s">
        <v>113</v>
      </c>
      <c r="P19" s="28" t="s">
        <v>233</v>
      </c>
      <c r="Q19" s="28" t="s">
        <v>233</v>
      </c>
      <c r="R19" s="28" t="s">
        <v>233</v>
      </c>
      <c r="S19" s="20" t="s">
        <v>114</v>
      </c>
      <c r="T19" s="28" t="s">
        <v>233</v>
      </c>
      <c r="U19" s="27" t="s">
        <v>115</v>
      </c>
      <c r="V19" s="28" t="s">
        <v>233</v>
      </c>
      <c r="W19" s="28" t="s">
        <v>233</v>
      </c>
      <c r="X19" s="28" t="s">
        <v>233</v>
      </c>
      <c r="Y19" s="20" t="s">
        <v>116</v>
      </c>
      <c r="Z19" s="28" t="s">
        <v>233</v>
      </c>
      <c r="AA19" s="27" t="s">
        <v>119</v>
      </c>
      <c r="AB19" s="20" t="s">
        <v>117</v>
      </c>
      <c r="AC19" s="28" t="s">
        <v>233</v>
      </c>
      <c r="AD19" s="28" t="s">
        <v>233</v>
      </c>
      <c r="AE19" s="27" t="s">
        <v>118</v>
      </c>
      <c r="AF19" s="27" t="s">
        <v>119</v>
      </c>
      <c r="AG19" s="28">
        <f t="shared" si="0"/>
        <v>12</v>
      </c>
      <c r="AH19" s="26"/>
      <c r="AI19" s="19" t="s">
        <v>119</v>
      </c>
      <c r="AJ19" s="19" cm="1">
        <f t="array" ref="AJ19">SUMPRODUCT(--ISNUMBER(SEARCH("Sólidos", D19:AF19)))</f>
        <v>12</v>
      </c>
      <c r="AK19" s="19" t="s">
        <v>120</v>
      </c>
      <c r="AL19" s="19" cm="1">
        <f t="array" ref="AL19">SUMPRODUCT(--ISNUMBER(SEARCH("Líquidos", D19:AF19)))</f>
        <v>2</v>
      </c>
      <c r="AM19" s="26"/>
      <c r="AN19" s="26"/>
      <c r="AO19" s="26"/>
      <c r="AP19" s="26"/>
      <c r="AQ19" s="26"/>
      <c r="AR19" s="26"/>
      <c r="AS19" s="26"/>
      <c r="AT19" s="26"/>
      <c r="AU19" s="26"/>
      <c r="AV19" s="26"/>
      <c r="AW19" s="26"/>
      <c r="AX19" s="26"/>
    </row>
    <row r="20" spans="1:50" s="2" customFormat="1" x14ac:dyDescent="0.25">
      <c r="B20">
        <v>17</v>
      </c>
      <c r="C20" s="28" t="s">
        <v>121</v>
      </c>
      <c r="D20" s="28" t="s">
        <v>233</v>
      </c>
      <c r="E20" s="28" t="s">
        <v>233</v>
      </c>
      <c r="F20" s="28" t="s">
        <v>233</v>
      </c>
      <c r="G20" s="28" t="s">
        <v>233</v>
      </c>
      <c r="H20" s="28" t="s">
        <v>122</v>
      </c>
      <c r="I20" s="28" t="s">
        <v>233</v>
      </c>
      <c r="J20" s="28" t="s">
        <v>233</v>
      </c>
      <c r="K20" s="28" t="s">
        <v>233</v>
      </c>
      <c r="L20" s="28" t="s">
        <v>233</v>
      </c>
      <c r="M20" s="28" t="s">
        <v>233</v>
      </c>
      <c r="N20" s="28" t="s">
        <v>123</v>
      </c>
      <c r="O20" s="28" t="s">
        <v>124</v>
      </c>
      <c r="P20" s="28" t="s">
        <v>124</v>
      </c>
      <c r="Q20" s="28" t="s">
        <v>233</v>
      </c>
      <c r="R20" s="28" t="s">
        <v>125</v>
      </c>
      <c r="S20" s="28" t="s">
        <v>233</v>
      </c>
      <c r="T20" s="28" t="s">
        <v>126</v>
      </c>
      <c r="U20" s="28" t="s">
        <v>124</v>
      </c>
      <c r="V20" s="28" t="s">
        <v>233</v>
      </c>
      <c r="W20" s="28" t="s">
        <v>124</v>
      </c>
      <c r="X20" s="28" t="s">
        <v>233</v>
      </c>
      <c r="Y20" s="28" t="s">
        <v>233</v>
      </c>
      <c r="Z20" s="28" t="s">
        <v>233</v>
      </c>
      <c r="AA20" s="28" t="s">
        <v>233</v>
      </c>
      <c r="AB20" s="28" t="s">
        <v>124</v>
      </c>
      <c r="AC20" s="28" t="s">
        <v>233</v>
      </c>
      <c r="AD20" s="28" t="s">
        <v>233</v>
      </c>
      <c r="AE20" s="28" t="s">
        <v>233</v>
      </c>
      <c r="AF20" s="28" t="s">
        <v>127</v>
      </c>
      <c r="AG20" s="28">
        <f t="shared" si="0"/>
        <v>10</v>
      </c>
      <c r="AI20" s="2" t="s">
        <v>124</v>
      </c>
      <c r="AJ20" s="2" cm="1">
        <f t="array" ref="AJ20">SUMPRODUCT(--ISNUMBER(SEARCH("", D20:AF20)))</f>
        <v>29</v>
      </c>
      <c r="AK20" s="2" t="s">
        <v>127</v>
      </c>
      <c r="AL20" s="2" cm="1">
        <f t="array" ref="AL20">SUMPRODUCT(--ISNUMBER(SEARCH("madera", D20:AF20)))</f>
        <v>3</v>
      </c>
      <c r="AM20" s="2" t="s">
        <v>126</v>
      </c>
      <c r="AN20" s="2" cm="1">
        <f t="array" ref="AN20">SUMPRODUCT(--ISNUMBER(SEARCH("plástico", D20:AF20)))</f>
        <v>2</v>
      </c>
    </row>
    <row r="21" spans="1:50" s="2" customFormat="1" ht="30" x14ac:dyDescent="0.25">
      <c r="B21" s="2">
        <v>18</v>
      </c>
      <c r="C21" s="28" t="s">
        <v>128</v>
      </c>
      <c r="D21" s="28" t="s">
        <v>233</v>
      </c>
      <c r="E21" s="28" t="s">
        <v>233</v>
      </c>
      <c r="F21" s="28" t="s">
        <v>129</v>
      </c>
      <c r="G21" s="28" t="s">
        <v>233</v>
      </c>
      <c r="H21" s="28" t="s">
        <v>233</v>
      </c>
      <c r="I21" s="29" t="s">
        <v>130</v>
      </c>
      <c r="J21" s="28" t="s">
        <v>198</v>
      </c>
      <c r="K21" s="28" t="s">
        <v>201</v>
      </c>
      <c r="L21" s="28" t="s">
        <v>233</v>
      </c>
      <c r="M21" s="28" t="s">
        <v>131</v>
      </c>
      <c r="N21" s="29" t="s">
        <v>132</v>
      </c>
      <c r="O21" s="28" t="s">
        <v>233</v>
      </c>
      <c r="P21" s="28" t="s">
        <v>233</v>
      </c>
      <c r="Q21" s="28" t="s">
        <v>233</v>
      </c>
      <c r="R21" s="28" t="s">
        <v>133</v>
      </c>
      <c r="S21" s="28" t="s">
        <v>209</v>
      </c>
      <c r="T21" s="28" t="s">
        <v>134</v>
      </c>
      <c r="U21" s="28" t="s">
        <v>135</v>
      </c>
      <c r="V21" s="28" t="s">
        <v>136</v>
      </c>
      <c r="W21" s="28" t="s">
        <v>137</v>
      </c>
      <c r="X21" s="28" t="s">
        <v>233</v>
      </c>
      <c r="Y21" s="28" t="s">
        <v>233</v>
      </c>
      <c r="Z21" s="28" t="s">
        <v>223</v>
      </c>
      <c r="AA21" s="28" t="s">
        <v>233</v>
      </c>
      <c r="AB21" s="28" t="s">
        <v>233</v>
      </c>
      <c r="AC21" s="28" t="s">
        <v>233</v>
      </c>
      <c r="AD21" s="28" t="s">
        <v>138</v>
      </c>
      <c r="AE21" s="28" t="s">
        <v>233</v>
      </c>
      <c r="AF21" s="28" t="s">
        <v>233</v>
      </c>
      <c r="AG21" s="28">
        <f t="shared" si="0"/>
        <v>14</v>
      </c>
      <c r="AI21" s="19" t="s">
        <v>93</v>
      </c>
    </row>
    <row r="22" spans="1:50" s="2" customFormat="1" ht="30" x14ac:dyDescent="0.25">
      <c r="B22">
        <v>19</v>
      </c>
      <c r="C22" s="28" t="s">
        <v>139</v>
      </c>
      <c r="D22" s="28" t="s">
        <v>140</v>
      </c>
      <c r="E22" s="28" t="s">
        <v>141</v>
      </c>
      <c r="F22" s="28" t="s">
        <v>233</v>
      </c>
      <c r="G22" s="2" t="s">
        <v>142</v>
      </c>
      <c r="H22" s="28" t="s">
        <v>233</v>
      </c>
      <c r="I22" s="29" t="s">
        <v>192</v>
      </c>
      <c r="J22" s="28" t="s">
        <v>142</v>
      </c>
      <c r="K22" s="28" t="s">
        <v>233</v>
      </c>
      <c r="L22" s="28" t="s">
        <v>233</v>
      </c>
      <c r="M22" s="28" t="s">
        <v>233</v>
      </c>
      <c r="N22" s="28" t="s">
        <v>233</v>
      </c>
      <c r="O22" s="28" t="s">
        <v>143</v>
      </c>
      <c r="P22" s="28" t="s">
        <v>144</v>
      </c>
      <c r="Q22" s="28" t="s">
        <v>145</v>
      </c>
      <c r="R22" s="29" t="s">
        <v>207</v>
      </c>
      <c r="S22" s="28" t="s">
        <v>233</v>
      </c>
      <c r="T22" s="29" t="s">
        <v>215</v>
      </c>
      <c r="U22" s="28" t="s">
        <v>233</v>
      </c>
      <c r="V22" s="28" t="s">
        <v>219</v>
      </c>
      <c r="W22" s="28" t="s">
        <v>233</v>
      </c>
      <c r="X22" s="28" t="s">
        <v>233</v>
      </c>
      <c r="Y22" s="28" t="s">
        <v>146</v>
      </c>
      <c r="Z22" s="28" t="s">
        <v>233</v>
      </c>
      <c r="AA22" s="28" t="s">
        <v>233</v>
      </c>
      <c r="AB22" s="28" t="s">
        <v>142</v>
      </c>
      <c r="AC22" s="28" t="s">
        <v>233</v>
      </c>
      <c r="AD22" s="28" t="s">
        <v>233</v>
      </c>
      <c r="AE22" s="28" t="s">
        <v>233</v>
      </c>
      <c r="AF22" s="28" t="s">
        <v>233</v>
      </c>
      <c r="AG22" s="28">
        <f>COUNTA(D22:AF22) - COUNTIF(D22:AF22, "No menciona")</f>
        <v>13</v>
      </c>
      <c r="AI22" s="2" t="s">
        <v>147</v>
      </c>
      <c r="AJ22" s="2" cm="1">
        <f t="array" ref="AJ22">SUMPRODUCT(--ISNUMBER(SEARCH("paciente", D22:AF22)))</f>
        <v>12</v>
      </c>
      <c r="AK22" s="2" t="s">
        <v>148</v>
      </c>
      <c r="AL22" s="2" cm="1">
        <f t="array" ref="AL22">SUMPRODUCT(--ISNUMBER(SEARCH("cuidador", D22:AF22)))</f>
        <v>10</v>
      </c>
      <c r="AM22" s="2" t="s">
        <v>149</v>
      </c>
      <c r="AN22" s="2" cm="1">
        <f t="array" ref="AN22">SUMPRODUCT(--ISNUMBER(SEARCH("médico", D22:AF22)))</f>
        <v>3</v>
      </c>
    </row>
    <row r="23" spans="1:50" s="2" customFormat="1" x14ac:dyDescent="0.25">
      <c r="B23">
        <v>20</v>
      </c>
      <c r="C23" s="30" t="s">
        <v>150</v>
      </c>
      <c r="D23" s="28" t="s">
        <v>233</v>
      </c>
      <c r="E23" s="30" t="s">
        <v>151</v>
      </c>
      <c r="F23" s="28" t="s">
        <v>233</v>
      </c>
      <c r="G23" s="30" t="s">
        <v>152</v>
      </c>
      <c r="H23" s="28" t="s">
        <v>233</v>
      </c>
      <c r="I23" s="28" t="s">
        <v>233</v>
      </c>
      <c r="J23" s="28" t="s">
        <v>233</v>
      </c>
      <c r="K23" s="28" t="s">
        <v>233</v>
      </c>
      <c r="L23" s="28" t="s">
        <v>233</v>
      </c>
      <c r="M23" s="28" t="s">
        <v>233</v>
      </c>
      <c r="N23" s="30" t="s">
        <v>153</v>
      </c>
      <c r="O23" s="28" t="s">
        <v>233</v>
      </c>
      <c r="P23" s="28" t="s">
        <v>233</v>
      </c>
      <c r="Q23" s="28" t="s">
        <v>233</v>
      </c>
      <c r="R23" s="28" t="s">
        <v>233</v>
      </c>
      <c r="S23" s="28" t="s">
        <v>233</v>
      </c>
      <c r="T23" s="28" t="s">
        <v>233</v>
      </c>
      <c r="U23" s="28" t="s">
        <v>233</v>
      </c>
      <c r="V23" s="28" t="s">
        <v>233</v>
      </c>
      <c r="W23" s="30" t="s">
        <v>151</v>
      </c>
      <c r="X23" s="28" t="s">
        <v>233</v>
      </c>
      <c r="Y23" s="28" t="s">
        <v>233</v>
      </c>
      <c r="Z23" s="28" t="s">
        <v>233</v>
      </c>
      <c r="AA23" s="28" t="s">
        <v>233</v>
      </c>
      <c r="AB23" s="30" t="s">
        <v>151</v>
      </c>
      <c r="AC23" s="30" t="s">
        <v>152</v>
      </c>
      <c r="AD23" s="28" t="s">
        <v>233</v>
      </c>
      <c r="AE23" s="28" t="s">
        <v>233</v>
      </c>
      <c r="AF23" s="28" t="s">
        <v>233</v>
      </c>
      <c r="AG23" s="28">
        <f t="shared" si="0"/>
        <v>6</v>
      </c>
      <c r="AI23" s="2" t="s">
        <v>151</v>
      </c>
      <c r="AJ23" s="2" cm="1">
        <f t="array" ref="AJ23">SUMPRODUCT(--ISNUMBER(SEARCH("huella dactilar", D23:AF23)))</f>
        <v>4</v>
      </c>
      <c r="AK23" s="2" t="s">
        <v>152</v>
      </c>
      <c r="AL23" s="2" cm="1">
        <f t="array" ref="AL23">SUMPRODUCT(--ISNUMBER(SEARCH("RFID", F23:AH23)))</f>
        <v>2</v>
      </c>
    </row>
    <row r="24" spans="1:50" s="2" customFormat="1" x14ac:dyDescent="0.25">
      <c r="B24" s="2">
        <v>21</v>
      </c>
      <c r="C24" s="30" t="s">
        <v>155</v>
      </c>
      <c r="D24" s="30" t="s">
        <v>156</v>
      </c>
      <c r="E24" s="28" t="s">
        <v>233</v>
      </c>
      <c r="F24" s="28" t="s">
        <v>233</v>
      </c>
      <c r="G24" s="28" t="s">
        <v>233</v>
      </c>
      <c r="H24" s="28" t="s">
        <v>233</v>
      </c>
      <c r="I24" s="31" t="s">
        <v>195</v>
      </c>
      <c r="J24" s="28" t="s">
        <v>233</v>
      </c>
      <c r="K24" s="30" t="s">
        <v>157</v>
      </c>
      <c r="L24" s="28" t="s">
        <v>233</v>
      </c>
      <c r="M24" s="28" t="s">
        <v>233</v>
      </c>
      <c r="N24" s="28" t="s">
        <v>233</v>
      </c>
      <c r="O24" s="28" t="s">
        <v>233</v>
      </c>
      <c r="P24" s="28" t="s">
        <v>233</v>
      </c>
      <c r="Q24" s="30" t="s">
        <v>154</v>
      </c>
      <c r="R24" s="30" t="s">
        <v>154</v>
      </c>
      <c r="S24" s="28" t="s">
        <v>233</v>
      </c>
      <c r="T24" s="28" t="s">
        <v>233</v>
      </c>
      <c r="U24" s="28" t="s">
        <v>233</v>
      </c>
      <c r="V24" s="28" t="s">
        <v>233</v>
      </c>
      <c r="W24" s="28" t="s">
        <v>233</v>
      </c>
      <c r="X24" s="30" t="s">
        <v>157</v>
      </c>
      <c r="Y24" s="28" t="s">
        <v>233</v>
      </c>
      <c r="Z24" s="28" t="s">
        <v>233</v>
      </c>
      <c r="AA24" s="28" t="s">
        <v>233</v>
      </c>
      <c r="AB24" s="28" t="s">
        <v>233</v>
      </c>
      <c r="AC24" s="28" t="s">
        <v>233</v>
      </c>
      <c r="AD24" s="30" t="s">
        <v>154</v>
      </c>
      <c r="AE24" s="28" t="s">
        <v>233</v>
      </c>
      <c r="AF24" s="28" t="s">
        <v>233</v>
      </c>
      <c r="AG24" s="28">
        <f t="shared" si="0"/>
        <v>7</v>
      </c>
      <c r="AM24" s="2" t="s">
        <v>154</v>
      </c>
      <c r="AN24" s="2" cm="1">
        <f t="array" ref="AN24">SUMPRODUCT(--ISNUMBER(SEARCH("credenciales", D24:AF24)))</f>
        <v>5</v>
      </c>
    </row>
    <row r="25" spans="1:50" x14ac:dyDescent="0.25">
      <c r="A25" s="2"/>
      <c r="B25">
        <v>22</v>
      </c>
      <c r="C25" s="28" t="s">
        <v>158</v>
      </c>
      <c r="D25" s="28" t="s">
        <v>159</v>
      </c>
      <c r="E25" s="28" t="s">
        <v>233</v>
      </c>
      <c r="F25" s="28" t="s">
        <v>233</v>
      </c>
      <c r="G25" s="28" t="s">
        <v>160</v>
      </c>
      <c r="H25" s="28" t="s">
        <v>233</v>
      </c>
      <c r="I25" s="28" t="s">
        <v>233</v>
      </c>
      <c r="J25" s="28" t="s">
        <v>161</v>
      </c>
      <c r="K25" s="28" t="s">
        <v>162</v>
      </c>
      <c r="L25" s="28" t="s">
        <v>233</v>
      </c>
      <c r="M25" s="28" t="s">
        <v>233</v>
      </c>
      <c r="N25" s="28" t="s">
        <v>233</v>
      </c>
      <c r="O25" s="28" t="s">
        <v>163</v>
      </c>
      <c r="P25" s="28" t="s">
        <v>233</v>
      </c>
      <c r="Q25" s="28" t="s">
        <v>233</v>
      </c>
      <c r="R25" s="28" t="s">
        <v>233</v>
      </c>
      <c r="S25" s="28" t="s">
        <v>233</v>
      </c>
      <c r="T25" s="28" t="s">
        <v>233</v>
      </c>
      <c r="U25" s="28" t="s">
        <v>233</v>
      </c>
      <c r="V25" s="28" t="s">
        <v>233</v>
      </c>
      <c r="W25" s="28" t="s">
        <v>233</v>
      </c>
      <c r="X25" s="28" t="s">
        <v>233</v>
      </c>
      <c r="Y25" s="28" t="s">
        <v>233</v>
      </c>
      <c r="Z25" s="28" t="s">
        <v>233</v>
      </c>
      <c r="AA25" s="28" t="s">
        <v>233</v>
      </c>
      <c r="AB25" s="28" t="s">
        <v>233</v>
      </c>
      <c r="AC25" s="28" t="s">
        <v>164</v>
      </c>
      <c r="AD25" s="28" t="s">
        <v>233</v>
      </c>
      <c r="AE25" s="28" t="s">
        <v>233</v>
      </c>
      <c r="AF25" s="28" t="s">
        <v>233</v>
      </c>
      <c r="AG25" s="28">
        <f t="shared" si="0"/>
        <v>6</v>
      </c>
      <c r="AH25" s="2"/>
      <c r="AI25" s="2" t="s">
        <v>93</v>
      </c>
      <c r="AJ25" s="2"/>
      <c r="AK25" s="2"/>
      <c r="AL25" s="2"/>
      <c r="AM25" s="2"/>
      <c r="AN25" s="2"/>
      <c r="AO25" s="2"/>
      <c r="AP25" s="2"/>
      <c r="AQ25" s="2"/>
      <c r="AR25" s="2"/>
      <c r="AS25" s="2"/>
      <c r="AT25" s="2"/>
      <c r="AU25" s="2"/>
      <c r="AV25" s="2"/>
      <c r="AW25" s="2"/>
      <c r="AX25" s="2"/>
    </row>
    <row r="26" spans="1:50" x14ac:dyDescent="0.25">
      <c r="A26" s="2"/>
      <c r="B26">
        <v>23</v>
      </c>
      <c r="C26" s="28" t="s">
        <v>165</v>
      </c>
      <c r="D26" s="28" t="s">
        <v>233</v>
      </c>
      <c r="E26" s="28" t="s">
        <v>166</v>
      </c>
      <c r="F26" s="28" t="s">
        <v>166</v>
      </c>
      <c r="G26" s="28" t="s">
        <v>233</v>
      </c>
      <c r="H26" s="28" t="s">
        <v>166</v>
      </c>
      <c r="I26" s="28" t="s">
        <v>233</v>
      </c>
      <c r="J26" s="28" t="s">
        <v>233</v>
      </c>
      <c r="K26" s="28" t="s">
        <v>233</v>
      </c>
      <c r="L26" s="28" t="s">
        <v>233</v>
      </c>
      <c r="M26" s="28" t="s">
        <v>233</v>
      </c>
      <c r="N26" s="28" t="s">
        <v>233</v>
      </c>
      <c r="O26" s="28" t="s">
        <v>233</v>
      </c>
      <c r="P26" s="28" t="s">
        <v>233</v>
      </c>
      <c r="Q26" s="28" t="s">
        <v>167</v>
      </c>
      <c r="R26" s="28" t="s">
        <v>233</v>
      </c>
      <c r="S26" s="28" t="s">
        <v>166</v>
      </c>
      <c r="T26" s="28" t="s">
        <v>233</v>
      </c>
      <c r="U26" s="28" t="s">
        <v>233</v>
      </c>
      <c r="V26" s="28" t="s">
        <v>233</v>
      </c>
      <c r="W26" s="28" t="s">
        <v>166</v>
      </c>
      <c r="X26" s="28" t="s">
        <v>233</v>
      </c>
      <c r="Y26" s="28" t="s">
        <v>233</v>
      </c>
      <c r="Z26" s="28" t="s">
        <v>233</v>
      </c>
      <c r="AA26" s="28" t="s">
        <v>75</v>
      </c>
      <c r="AB26" s="28" t="s">
        <v>233</v>
      </c>
      <c r="AC26" s="28" t="s">
        <v>233</v>
      </c>
      <c r="AD26" s="28" t="s">
        <v>233</v>
      </c>
      <c r="AE26" s="28" t="s">
        <v>233</v>
      </c>
      <c r="AF26" s="28" t="s">
        <v>233</v>
      </c>
      <c r="AG26" s="28">
        <f t="shared" si="0"/>
        <v>7</v>
      </c>
      <c r="AH26" s="2"/>
      <c r="AI26" s="2" t="s">
        <v>93</v>
      </c>
      <c r="AJ26" s="2"/>
      <c r="AK26" s="2"/>
      <c r="AL26" s="2"/>
      <c r="AM26" s="2"/>
      <c r="AN26" s="2"/>
      <c r="AO26" s="2"/>
      <c r="AP26" s="2"/>
      <c r="AQ26" s="2"/>
      <c r="AR26" s="2"/>
      <c r="AS26" s="2"/>
      <c r="AT26" s="2"/>
      <c r="AU26" s="2"/>
      <c r="AV26" s="2"/>
      <c r="AW26" s="2"/>
      <c r="AX26" s="2"/>
    </row>
    <row r="27" spans="1:50" x14ac:dyDescent="0.25">
      <c r="B27" s="2">
        <v>24</v>
      </c>
      <c r="C27" s="28" t="s">
        <v>168</v>
      </c>
      <c r="D27" s="28" t="s">
        <v>169</v>
      </c>
      <c r="E27" s="28" t="s">
        <v>233</v>
      </c>
      <c r="F27" s="28" t="s">
        <v>233</v>
      </c>
      <c r="G27" s="28" t="s">
        <v>233</v>
      </c>
      <c r="H27" s="28" t="s">
        <v>233</v>
      </c>
      <c r="I27" s="28" t="s">
        <v>233</v>
      </c>
      <c r="J27" s="28" t="s">
        <v>233</v>
      </c>
      <c r="K27" s="28" t="s">
        <v>170</v>
      </c>
      <c r="L27" s="28" t="s">
        <v>233</v>
      </c>
      <c r="M27" s="28" t="s">
        <v>171</v>
      </c>
      <c r="N27" s="28" t="s">
        <v>233</v>
      </c>
      <c r="O27" s="28" t="s">
        <v>233</v>
      </c>
      <c r="P27" s="28" t="s">
        <v>233</v>
      </c>
      <c r="Q27" s="28" t="s">
        <v>233</v>
      </c>
      <c r="R27" s="28" t="s">
        <v>233</v>
      </c>
      <c r="S27" s="28" t="s">
        <v>233</v>
      </c>
      <c r="T27" s="28" t="s">
        <v>233</v>
      </c>
      <c r="U27" s="28" t="s">
        <v>233</v>
      </c>
      <c r="V27" s="28" t="s">
        <v>233</v>
      </c>
      <c r="W27" s="28" t="s">
        <v>233</v>
      </c>
      <c r="X27" s="28" t="s">
        <v>172</v>
      </c>
      <c r="Y27" s="28" t="s">
        <v>173</v>
      </c>
      <c r="Z27" s="28" t="s">
        <v>233</v>
      </c>
      <c r="AA27" s="28" t="s">
        <v>233</v>
      </c>
      <c r="AB27" s="28" t="s">
        <v>233</v>
      </c>
      <c r="AC27" s="28" t="s">
        <v>233</v>
      </c>
      <c r="AD27" s="28" t="s">
        <v>233</v>
      </c>
      <c r="AE27" s="28" t="s">
        <v>233</v>
      </c>
      <c r="AF27" s="28" t="s">
        <v>233</v>
      </c>
      <c r="AG27" s="28">
        <f t="shared" si="0"/>
        <v>5</v>
      </c>
      <c r="AH27" s="2"/>
      <c r="AI27" s="2" t="s">
        <v>93</v>
      </c>
    </row>
    <row r="28" spans="1:50" x14ac:dyDescent="0.25">
      <c r="B28">
        <v>25</v>
      </c>
      <c r="C28" s="28" t="s">
        <v>174</v>
      </c>
      <c r="D28" s="28" t="s">
        <v>175</v>
      </c>
      <c r="E28" s="28" t="s">
        <v>233</v>
      </c>
      <c r="F28" s="28" t="s">
        <v>176</v>
      </c>
      <c r="G28" s="28" t="s">
        <v>233</v>
      </c>
      <c r="H28" s="28" t="s">
        <v>177</v>
      </c>
      <c r="I28" s="29" t="s">
        <v>177</v>
      </c>
      <c r="J28" s="28" t="s">
        <v>176</v>
      </c>
      <c r="K28" s="28" t="s">
        <v>233</v>
      </c>
      <c r="L28" s="28" t="s">
        <v>233</v>
      </c>
      <c r="M28" s="28" t="s">
        <v>233</v>
      </c>
      <c r="N28" s="28" t="s">
        <v>176</v>
      </c>
      <c r="O28" s="28" t="s">
        <v>233</v>
      </c>
      <c r="P28" s="28" t="s">
        <v>176</v>
      </c>
      <c r="Q28" s="28" t="s">
        <v>233</v>
      </c>
      <c r="R28" s="28" t="s">
        <v>176</v>
      </c>
      <c r="S28" s="28" t="s">
        <v>233</v>
      </c>
      <c r="T28" s="28" t="s">
        <v>233</v>
      </c>
      <c r="U28" s="28" t="s">
        <v>233</v>
      </c>
      <c r="V28" s="32" t="s">
        <v>176</v>
      </c>
      <c r="W28" s="28" t="s">
        <v>176</v>
      </c>
      <c r="X28" s="28" t="s">
        <v>233</v>
      </c>
      <c r="Y28" s="28" t="s">
        <v>233</v>
      </c>
      <c r="Z28" s="28" t="s">
        <v>233</v>
      </c>
      <c r="AA28" s="32" t="s">
        <v>178</v>
      </c>
      <c r="AB28" s="28" t="s">
        <v>233</v>
      </c>
      <c r="AC28" s="28" t="s">
        <v>233</v>
      </c>
      <c r="AD28" s="28" t="s">
        <v>233</v>
      </c>
      <c r="AE28" s="28" t="s">
        <v>233</v>
      </c>
      <c r="AF28" s="28" t="s">
        <v>233</v>
      </c>
      <c r="AG28" s="28">
        <f t="shared" si="0"/>
        <v>11</v>
      </c>
      <c r="AI28" s="2" t="s">
        <v>93</v>
      </c>
    </row>
    <row r="29" spans="1:50" x14ac:dyDescent="0.25">
      <c r="B29">
        <v>26</v>
      </c>
      <c r="C29" s="28" t="s">
        <v>179</v>
      </c>
      <c r="D29" s="28" t="s">
        <v>233</v>
      </c>
      <c r="E29" s="28" t="s">
        <v>233</v>
      </c>
      <c r="F29" s="28" t="s">
        <v>233</v>
      </c>
      <c r="G29" s="28" t="s">
        <v>233</v>
      </c>
      <c r="H29" s="28" t="s">
        <v>233</v>
      </c>
      <c r="I29" s="29" t="s">
        <v>180</v>
      </c>
      <c r="J29" s="28" t="s">
        <v>233</v>
      </c>
      <c r="K29" s="28" t="s">
        <v>202</v>
      </c>
      <c r="L29" s="28" t="s">
        <v>233</v>
      </c>
      <c r="M29" s="28" t="s">
        <v>233</v>
      </c>
      <c r="N29" s="28" t="s">
        <v>181</v>
      </c>
      <c r="O29" s="28" t="s">
        <v>233</v>
      </c>
      <c r="P29" s="28" t="s">
        <v>233</v>
      </c>
      <c r="Q29" s="28" t="s">
        <v>233</v>
      </c>
      <c r="R29" s="28" t="s">
        <v>233</v>
      </c>
      <c r="S29" s="28" t="s">
        <v>233</v>
      </c>
      <c r="T29" s="28" t="s">
        <v>233</v>
      </c>
      <c r="U29" s="28" t="s">
        <v>233</v>
      </c>
      <c r="V29" s="28" t="s">
        <v>233</v>
      </c>
      <c r="W29" s="28" t="s">
        <v>233</v>
      </c>
      <c r="X29" s="28" t="s">
        <v>233</v>
      </c>
      <c r="Y29" s="32" t="s">
        <v>182</v>
      </c>
      <c r="Z29" s="28" t="s">
        <v>233</v>
      </c>
      <c r="AA29" s="32" t="s">
        <v>182</v>
      </c>
      <c r="AB29" s="28" t="s">
        <v>233</v>
      </c>
      <c r="AC29" s="28" t="s">
        <v>233</v>
      </c>
      <c r="AD29" s="28" t="s">
        <v>233</v>
      </c>
      <c r="AE29" s="28" t="s">
        <v>233</v>
      </c>
      <c r="AF29" s="28" t="s">
        <v>233</v>
      </c>
      <c r="AG29" s="28">
        <f t="shared" si="0"/>
        <v>5</v>
      </c>
      <c r="AH29" s="2"/>
      <c r="AI29" s="2" t="s">
        <v>93</v>
      </c>
    </row>
    <row r="30" spans="1:50" s="26" customFormat="1" x14ac:dyDescent="0.25">
      <c r="B30" s="2">
        <v>27</v>
      </c>
      <c r="C30" s="20" t="s">
        <v>183</v>
      </c>
      <c r="D30" s="28" t="s">
        <v>233</v>
      </c>
      <c r="E30" s="28" t="s">
        <v>233</v>
      </c>
      <c r="F30" s="28" t="s">
        <v>233</v>
      </c>
      <c r="G30" s="28" t="s">
        <v>233</v>
      </c>
      <c r="H30" s="28" t="s">
        <v>233</v>
      </c>
      <c r="I30" s="28" t="s">
        <v>233</v>
      </c>
      <c r="J30" s="28" t="s">
        <v>233</v>
      </c>
      <c r="K30" s="28" t="s">
        <v>233</v>
      </c>
      <c r="L30" s="28" t="s">
        <v>233</v>
      </c>
      <c r="M30" s="28" t="s">
        <v>233</v>
      </c>
      <c r="N30" s="28" t="s">
        <v>233</v>
      </c>
      <c r="O30" s="28" t="s">
        <v>233</v>
      </c>
      <c r="P30" s="28" t="s">
        <v>233</v>
      </c>
      <c r="Q30" s="28" t="s">
        <v>233</v>
      </c>
      <c r="R30" s="28" t="s">
        <v>233</v>
      </c>
      <c r="S30" s="28" t="s">
        <v>233</v>
      </c>
      <c r="T30" s="28" t="s">
        <v>233</v>
      </c>
      <c r="U30" s="20" t="s">
        <v>184</v>
      </c>
      <c r="V30" s="28" t="s">
        <v>233</v>
      </c>
      <c r="W30" s="28" t="s">
        <v>233</v>
      </c>
      <c r="X30" s="28" t="s">
        <v>233</v>
      </c>
      <c r="Y30" s="28" t="s">
        <v>233</v>
      </c>
      <c r="Z30" s="28" t="s">
        <v>233</v>
      </c>
      <c r="AA30" s="28" t="s">
        <v>233</v>
      </c>
      <c r="AB30" s="28" t="s">
        <v>233</v>
      </c>
      <c r="AC30" s="28" t="s">
        <v>233</v>
      </c>
      <c r="AD30" s="28" t="s">
        <v>233</v>
      </c>
      <c r="AE30" s="28" t="s">
        <v>233</v>
      </c>
      <c r="AF30" s="28" t="s">
        <v>233</v>
      </c>
      <c r="AG30" s="28">
        <f>COUNTA(D30:AF30) - COUNTIF(D30:AF30, "No menciona")</f>
        <v>1</v>
      </c>
      <c r="AI30" s="19" t="s">
        <v>93</v>
      </c>
    </row>
  </sheetData>
  <sortState xmlns:xlrd2="http://schemas.microsoft.com/office/spreadsheetml/2017/richdata2" ref="A5:AX30">
    <sortCondition descending="1" ref="AG5:AG30"/>
  </sortState>
  <mergeCells count="4">
    <mergeCell ref="K2:M2"/>
    <mergeCell ref="N2:P2"/>
    <mergeCell ref="D2:J2"/>
    <mergeCell ref="Q2:AF2"/>
  </mergeCells>
  <pageMargins left="0.7" right="0.7" top="0.75" bottom="0.75" header="0.3" footer="0.3"/>
  <pageSetup paperSize="9" orientation="portrait" horizontalDpi="0" verticalDpi="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85973-F55A-402A-BD4F-71014AE419C2}">
  <dimension ref="C4:AF44"/>
  <sheetViews>
    <sheetView topLeftCell="M10" workbookViewId="0">
      <selection activeCell="AD17" sqref="AD17"/>
    </sheetView>
  </sheetViews>
  <sheetFormatPr baseColWidth="10" defaultRowHeight="15" x14ac:dyDescent="0.25"/>
  <sheetData>
    <row r="4" spans="3:14" x14ac:dyDescent="0.25">
      <c r="C4" t="s">
        <v>40</v>
      </c>
      <c r="D4">
        <v>16</v>
      </c>
      <c r="E4" t="s">
        <v>39</v>
      </c>
      <c r="F4">
        <v>7</v>
      </c>
      <c r="G4" t="s">
        <v>37</v>
      </c>
      <c r="H4">
        <v>5</v>
      </c>
      <c r="M4" s="32" t="s">
        <v>36</v>
      </c>
      <c r="N4" s="32">
        <v>16</v>
      </c>
    </row>
    <row r="5" spans="3:14" x14ac:dyDescent="0.25">
      <c r="M5" s="32" t="s">
        <v>39</v>
      </c>
      <c r="N5" s="32">
        <v>7</v>
      </c>
    </row>
    <row r="6" spans="3:14" x14ac:dyDescent="0.25">
      <c r="C6" t="s">
        <v>93</v>
      </c>
      <c r="D6">
        <v>0</v>
      </c>
      <c r="F6">
        <v>0</v>
      </c>
      <c r="M6" s="32" t="s">
        <v>234</v>
      </c>
      <c r="N6" s="32">
        <v>5</v>
      </c>
    </row>
    <row r="8" spans="3:14" x14ac:dyDescent="0.25">
      <c r="C8" t="s">
        <v>70</v>
      </c>
      <c r="D8">
        <v>13</v>
      </c>
      <c r="E8" t="s">
        <v>72</v>
      </c>
      <c r="F8">
        <v>9</v>
      </c>
    </row>
    <row r="9" spans="3:14" x14ac:dyDescent="0.25">
      <c r="C9" t="s">
        <v>93</v>
      </c>
      <c r="D9">
        <v>0</v>
      </c>
      <c r="F9">
        <v>0</v>
      </c>
    </row>
    <row r="10" spans="3:14" x14ac:dyDescent="0.25">
      <c r="C10" t="s">
        <v>36</v>
      </c>
      <c r="D10">
        <v>7</v>
      </c>
      <c r="E10" t="s">
        <v>62</v>
      </c>
      <c r="F10">
        <v>7</v>
      </c>
      <c r="G10" t="s">
        <v>64</v>
      </c>
      <c r="H10">
        <v>2</v>
      </c>
      <c r="I10" t="s">
        <v>66</v>
      </c>
      <c r="J10">
        <v>1</v>
      </c>
      <c r="K10" t="s">
        <v>67</v>
      </c>
      <c r="L10">
        <v>1</v>
      </c>
    </row>
    <row r="11" spans="3:14" x14ac:dyDescent="0.25">
      <c r="C11" t="s">
        <v>75</v>
      </c>
      <c r="D11">
        <v>14</v>
      </c>
      <c r="F11">
        <v>0</v>
      </c>
    </row>
    <row r="12" spans="3:14" x14ac:dyDescent="0.25">
      <c r="C12" t="s">
        <v>54</v>
      </c>
      <c r="D12">
        <v>13</v>
      </c>
      <c r="E12" t="s">
        <v>58</v>
      </c>
      <c r="F12">
        <v>4</v>
      </c>
      <c r="M12" s="32" t="s">
        <v>235</v>
      </c>
      <c r="N12" s="32">
        <v>13</v>
      </c>
    </row>
    <row r="13" spans="3:14" x14ac:dyDescent="0.25">
      <c r="C13" t="s">
        <v>93</v>
      </c>
      <c r="D13">
        <v>0</v>
      </c>
      <c r="F13">
        <v>0</v>
      </c>
      <c r="M13" s="32" t="s">
        <v>71</v>
      </c>
      <c r="N13" s="32">
        <v>9</v>
      </c>
    </row>
    <row r="14" spans="3:14" x14ac:dyDescent="0.25">
      <c r="C14" t="s">
        <v>80</v>
      </c>
      <c r="D14">
        <v>14</v>
      </c>
      <c r="F14">
        <v>0</v>
      </c>
    </row>
    <row r="15" spans="3:14" x14ac:dyDescent="0.25">
      <c r="C15" t="s">
        <v>93</v>
      </c>
    </row>
    <row r="16" spans="3:14" x14ac:dyDescent="0.25">
      <c r="C16" t="s">
        <v>147</v>
      </c>
      <c r="D16">
        <v>12</v>
      </c>
      <c r="E16" t="s">
        <v>148</v>
      </c>
      <c r="F16">
        <v>10</v>
      </c>
      <c r="G16" t="s">
        <v>149</v>
      </c>
      <c r="H16">
        <v>3</v>
      </c>
    </row>
    <row r="17" spans="3:32" x14ac:dyDescent="0.25">
      <c r="C17" t="s">
        <v>119</v>
      </c>
      <c r="D17">
        <v>12</v>
      </c>
      <c r="E17" t="s">
        <v>120</v>
      </c>
      <c r="F17">
        <v>2</v>
      </c>
    </row>
    <row r="18" spans="3:32" x14ac:dyDescent="0.25">
      <c r="C18" t="s">
        <v>93</v>
      </c>
    </row>
    <row r="19" spans="3:32" x14ac:dyDescent="0.25">
      <c r="C19" t="s">
        <v>93</v>
      </c>
      <c r="D19">
        <v>0</v>
      </c>
      <c r="F19">
        <v>0</v>
      </c>
    </row>
    <row r="20" spans="3:32" x14ac:dyDescent="0.25">
      <c r="C20" t="s">
        <v>124</v>
      </c>
      <c r="D20">
        <v>6</v>
      </c>
      <c r="E20" t="s">
        <v>127</v>
      </c>
      <c r="F20">
        <v>3</v>
      </c>
      <c r="G20" t="s">
        <v>126</v>
      </c>
      <c r="H20">
        <v>2</v>
      </c>
    </row>
    <row r="21" spans="3:32" x14ac:dyDescent="0.25">
      <c r="G21" t="s">
        <v>154</v>
      </c>
      <c r="H21">
        <v>5</v>
      </c>
    </row>
    <row r="22" spans="3:32" x14ac:dyDescent="0.25">
      <c r="C22" t="s">
        <v>93</v>
      </c>
      <c r="M22" s="32" t="s">
        <v>36</v>
      </c>
      <c r="N22" s="32">
        <v>7</v>
      </c>
    </row>
    <row r="23" spans="3:32" x14ac:dyDescent="0.25">
      <c r="M23" s="32" t="s">
        <v>236</v>
      </c>
      <c r="N23" s="32">
        <v>7</v>
      </c>
    </row>
    <row r="24" spans="3:32" x14ac:dyDescent="0.25">
      <c r="C24" t="s">
        <v>151</v>
      </c>
      <c r="D24">
        <v>4</v>
      </c>
      <c r="E24" t="s">
        <v>152</v>
      </c>
      <c r="F24">
        <v>2</v>
      </c>
      <c r="M24" s="32" t="s">
        <v>237</v>
      </c>
      <c r="N24" s="32">
        <v>2</v>
      </c>
    </row>
    <row r="25" spans="3:32" x14ac:dyDescent="0.25">
      <c r="C25" t="s">
        <v>93</v>
      </c>
      <c r="M25" s="32" t="s">
        <v>66</v>
      </c>
      <c r="N25" s="32">
        <v>1</v>
      </c>
    </row>
    <row r="26" spans="3:32" x14ac:dyDescent="0.25">
      <c r="C26" t="s">
        <v>93</v>
      </c>
      <c r="M26" s="32" t="s">
        <v>67</v>
      </c>
      <c r="N26" s="32">
        <v>1</v>
      </c>
    </row>
    <row r="27" spans="3:32" x14ac:dyDescent="0.25">
      <c r="C27" t="s">
        <v>93</v>
      </c>
    </row>
    <row r="29" spans="3:32" x14ac:dyDescent="0.25">
      <c r="C29" t="s">
        <v>93</v>
      </c>
    </row>
    <row r="30" spans="3:32" x14ac:dyDescent="0.25">
      <c r="M30" s="32" t="s">
        <v>119</v>
      </c>
      <c r="N30" s="32">
        <v>12</v>
      </c>
    </row>
    <row r="31" spans="3:32" x14ac:dyDescent="0.25">
      <c r="M31" s="32" t="s">
        <v>238</v>
      </c>
      <c r="N31" s="32">
        <v>2</v>
      </c>
    </row>
    <row r="32" spans="3:32" x14ac:dyDescent="0.25">
      <c r="AF32" t="s">
        <v>98</v>
      </c>
    </row>
    <row r="36" spans="13:14" x14ac:dyDescent="0.25">
      <c r="M36" s="32" t="s">
        <v>54</v>
      </c>
      <c r="N36" s="32">
        <v>13</v>
      </c>
    </row>
    <row r="37" spans="13:14" x14ac:dyDescent="0.25">
      <c r="M37" s="32" t="s">
        <v>58</v>
      </c>
      <c r="N37" s="32">
        <v>4</v>
      </c>
    </row>
    <row r="42" spans="13:14" x14ac:dyDescent="0.25">
      <c r="M42" s="32" t="s">
        <v>124</v>
      </c>
      <c r="N42" s="32">
        <v>6</v>
      </c>
    </row>
    <row r="43" spans="13:14" x14ac:dyDescent="0.25">
      <c r="M43" s="32" t="s">
        <v>239</v>
      </c>
      <c r="N43" s="32">
        <v>3</v>
      </c>
    </row>
    <row r="44" spans="13:14" x14ac:dyDescent="0.25">
      <c r="M44" s="32" t="s">
        <v>125</v>
      </c>
      <c r="N44" s="32">
        <v>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JAIRO ALEJANDRO ANGULO ORTIZ</dc:creator>
  <cp:keywords/>
  <dc:description/>
  <cp:lastModifiedBy>jairo angulo</cp:lastModifiedBy>
  <cp:revision/>
  <dcterms:created xsi:type="dcterms:W3CDTF">2024-02-22T18:24:45Z</dcterms:created>
  <dcterms:modified xsi:type="dcterms:W3CDTF">2024-08-29T01:10:15Z</dcterms:modified>
  <cp:category/>
  <cp:contentStatus/>
</cp:coreProperties>
</file>