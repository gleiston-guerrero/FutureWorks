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reye\OneDrive\Desktop\ARTICULO\battery\"/>
    </mc:Choice>
  </mc:AlternateContent>
  <xr:revisionPtr revIDLastSave="0" documentId="13_ncr:1_{6383F48B-2F8D-4A2E-8AE8-1341A00DAE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s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1" i="1"/>
  <c r="H8" i="1"/>
  <c r="H12" i="1"/>
  <c r="H10" i="1"/>
  <c r="H5" i="1"/>
  <c r="H7" i="1"/>
  <c r="H3" i="1"/>
  <c r="H6" i="1"/>
  <c r="H4" i="1"/>
  <c r="F5" i="1"/>
  <c r="H9" i="1"/>
  <c r="F9" i="1"/>
  <c r="F4" i="1"/>
  <c r="F6" i="1"/>
  <c r="F3" i="1"/>
  <c r="L17" i="1"/>
  <c r="M17" i="1" s="1"/>
  <c r="N17" i="1" s="1"/>
  <c r="L16" i="1"/>
  <c r="M16" i="1" s="1"/>
  <c r="N16" i="1" s="1"/>
  <c r="L15" i="1"/>
  <c r="M15" i="1" s="1"/>
  <c r="N15" i="1" s="1"/>
  <c r="L14" i="1"/>
  <c r="M14" i="1" s="1"/>
  <c r="N14" i="1" s="1"/>
  <c r="L13" i="1"/>
  <c r="M13" i="1" s="1"/>
  <c r="N13" i="1" s="1"/>
  <c r="L12" i="1"/>
  <c r="M12" i="1" s="1"/>
  <c r="N12" i="1" s="1"/>
  <c r="L11" i="1"/>
  <c r="M11" i="1" s="1"/>
  <c r="N11" i="1" s="1"/>
  <c r="L10" i="1"/>
  <c r="M10" i="1" s="1"/>
  <c r="N10" i="1" s="1"/>
  <c r="L9" i="1"/>
  <c r="M9" i="1" s="1"/>
  <c r="N9" i="1" s="1"/>
  <c r="L8" i="1"/>
  <c r="M8" i="1" s="1"/>
  <c r="N8" i="1" s="1"/>
  <c r="L7" i="1"/>
  <c r="M7" i="1" s="1"/>
  <c r="N7" i="1" s="1"/>
  <c r="L6" i="1"/>
  <c r="M6" i="1" s="1"/>
  <c r="N6" i="1" s="1"/>
  <c r="L5" i="1"/>
  <c r="L4" i="1"/>
  <c r="L3" i="1"/>
  <c r="M3" i="1" s="1"/>
  <c r="M4" i="1" l="1"/>
  <c r="M5" i="1"/>
  <c r="N3" i="1"/>
  <c r="N5" i="1"/>
  <c r="N4" i="1" l="1"/>
</calcChain>
</file>

<file path=xl/sharedStrings.xml><?xml version="1.0" encoding="utf-8"?>
<sst xmlns="http://schemas.openxmlformats.org/spreadsheetml/2006/main" count="125" uniqueCount="40">
  <si>
    <t>RutAI — Experimento de Consumo Energético (Battery Historian)</t>
  </si>
  <si>
    <t>ID Dispositivo</t>
  </si>
  <si>
    <t>Modelo</t>
  </si>
  <si>
    <t>Android Version</t>
  </si>
  <si>
    <t>Capacidad Batería (mAh)</t>
  </si>
  <si>
    <t>Modo Ubicación</t>
  </si>
  <si>
    <t>Fecha Sesión</t>
  </si>
  <si>
    <t>Hora Inicio</t>
  </si>
  <si>
    <t>Hora Fin</t>
  </si>
  <si>
    <t>Duración Real (min)</t>
  </si>
  <si>
    <t>Batería Inicial (%)</t>
  </si>
  <si>
    <t>Batería Final (%)</t>
  </si>
  <si>
    <t>Δ Batería (%)</t>
  </si>
  <si>
    <t>Consumo (mAh)</t>
  </si>
  <si>
    <t>Consumo (mAh/h)</t>
  </si>
  <si>
    <t>Pantalla</t>
  </si>
  <si>
    <t>GPS Activo</t>
  </si>
  <si>
    <t>Versión App</t>
  </si>
  <si>
    <t>Archivo bugreport</t>
  </si>
  <si>
    <t>Notas</t>
  </si>
  <si>
    <t>D01</t>
  </si>
  <si>
    <t>Samsung Galaxy A34</t>
  </si>
  <si>
    <t>continuous</t>
  </si>
  <si>
    <t>Apagada</t>
  </si>
  <si>
    <t>Sí</t>
  </si>
  <si>
    <t>1.0.0</t>
  </si>
  <si>
    <t>passive</t>
  </si>
  <si>
    <t>off</t>
  </si>
  <si>
    <t>No</t>
  </si>
  <si>
    <t>D02</t>
  </si>
  <si>
    <t>D03</t>
  </si>
  <si>
    <t>D04</t>
  </si>
  <si>
    <t>D05</t>
  </si>
  <si>
    <t>Entorno controlado</t>
  </si>
  <si>
    <t>Honor X7b</t>
  </si>
  <si>
    <t>Honor Magic6</t>
  </si>
  <si>
    <t>Encendida</t>
  </si>
  <si>
    <t>Usuario uso el celular, no controlado</t>
  </si>
  <si>
    <t>Galaxy A33</t>
  </si>
  <si>
    <t>Usuario uso el celular, no controlado, bateria defectuosa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</si>
</sst>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zoomScale="70" zoomScaleNormal="70" workbookViewId="0">
      <pane ySplit="2" topLeftCell="A3" activePane="bottomLeft" state="frozen"/>
      <selection pane="bottomLeft" activeCell="C34" sqref="C34"/>
    </sheetView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6" customWidth="1"/>
    <col min="4" max="4" width="22" customWidth="1"/>
    <col min="5" max="5" width="18" customWidth="1"/>
    <col min="6" max="6" width="16" customWidth="1"/>
    <col min="7" max="8" width="14" customWidth="1"/>
    <col min="9" max="10" width="20" customWidth="1"/>
    <col min="11" max="11" width="18" customWidth="1"/>
    <col min="12" max="13" width="16" customWidth="1"/>
    <col min="14" max="14" width="18" customWidth="1"/>
    <col min="15" max="17" width="14" customWidth="1"/>
    <col min="18" max="18" width="24" customWidth="1"/>
    <col min="19" max="19" width="47.77734375" customWidth="1"/>
  </cols>
  <sheetData>
    <row r="1" spans="1:19" ht="28.05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3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 x14ac:dyDescent="0.3">
      <c r="A3" s="2" t="s">
        <v>20</v>
      </c>
      <c r="B3" s="2" t="s">
        <v>21</v>
      </c>
      <c r="C3" s="2">
        <v>13</v>
      </c>
      <c r="D3" s="3">
        <v>5000</v>
      </c>
      <c r="E3" s="2" t="s">
        <v>22</v>
      </c>
      <c r="F3" s="6">
        <f ca="1">+TODAY()</f>
        <v>46145</v>
      </c>
      <c r="G3" s="7">
        <v>0.31319444444444444</v>
      </c>
      <c r="H3" s="7">
        <f t="shared" ref="H3:H16" si="0">G3+(120/1440)</f>
        <v>0.39652777777777776</v>
      </c>
      <c r="I3" s="3">
        <v>120</v>
      </c>
      <c r="J3" s="3">
        <v>100</v>
      </c>
      <c r="K3" s="3">
        <v>97</v>
      </c>
      <c r="L3" s="3">
        <f t="shared" ref="L3:L17" si="1">J3-K3</f>
        <v>3</v>
      </c>
      <c r="M3" s="3">
        <f t="shared" ref="M3:M17" si="2">IFERROR(L3/100*D3,"")</f>
        <v>150</v>
      </c>
      <c r="N3" s="3">
        <f t="shared" ref="N3:N17" si="3">IFERROR(M3/(I3/60),"")</f>
        <v>75</v>
      </c>
      <c r="O3" s="2" t="s">
        <v>23</v>
      </c>
      <c r="P3" s="2" t="s">
        <v>24</v>
      </c>
      <c r="Q3" s="2" t="s">
        <v>25</v>
      </c>
      <c r="R3" s="2"/>
      <c r="S3" s="2" t="s">
        <v>33</v>
      </c>
    </row>
    <row r="4" spans="1:19" x14ac:dyDescent="0.3">
      <c r="A4" s="4" t="s">
        <v>20</v>
      </c>
      <c r="B4" s="4" t="s">
        <v>21</v>
      </c>
      <c r="C4" s="4">
        <v>13</v>
      </c>
      <c r="D4" s="8">
        <v>5000</v>
      </c>
      <c r="E4" s="4" t="s">
        <v>26</v>
      </c>
      <c r="F4" s="9">
        <f ca="1">TODAY()</f>
        <v>46145</v>
      </c>
      <c r="G4" s="12">
        <v>0.40972222222222227</v>
      </c>
      <c r="H4" s="10">
        <f t="shared" si="0"/>
        <v>0.49305555555555558</v>
      </c>
      <c r="I4" s="5">
        <v>120</v>
      </c>
      <c r="J4" s="5">
        <v>100</v>
      </c>
      <c r="K4" s="5">
        <v>98</v>
      </c>
      <c r="L4" s="5">
        <f t="shared" si="1"/>
        <v>2</v>
      </c>
      <c r="M4" s="5">
        <f>IFERROR(L4/100*D4,"")</f>
        <v>100</v>
      </c>
      <c r="N4" s="5">
        <f t="shared" si="3"/>
        <v>50</v>
      </c>
      <c r="O4" s="4" t="s">
        <v>23</v>
      </c>
      <c r="P4" s="4" t="s">
        <v>24</v>
      </c>
      <c r="Q4" s="4" t="s">
        <v>25</v>
      </c>
      <c r="R4" s="4"/>
      <c r="S4" s="11" t="s">
        <v>33</v>
      </c>
    </row>
    <row r="5" spans="1:19" x14ac:dyDescent="0.3">
      <c r="A5" s="2" t="s">
        <v>20</v>
      </c>
      <c r="B5" s="2" t="s">
        <v>21</v>
      </c>
      <c r="C5" s="2">
        <v>13</v>
      </c>
      <c r="D5" s="3">
        <v>5000</v>
      </c>
      <c r="E5" s="2" t="s">
        <v>27</v>
      </c>
      <c r="F5" s="6">
        <f ca="1">TODAY()</f>
        <v>46145</v>
      </c>
      <c r="G5" s="7">
        <v>0.49652777777777773</v>
      </c>
      <c r="H5" s="7">
        <f t="shared" si="0"/>
        <v>0.57986111111111105</v>
      </c>
      <c r="I5" s="3">
        <v>120</v>
      </c>
      <c r="J5" s="3">
        <v>100</v>
      </c>
      <c r="K5" s="3">
        <v>99</v>
      </c>
      <c r="L5" s="3">
        <f t="shared" si="1"/>
        <v>1</v>
      </c>
      <c r="M5" s="3">
        <f t="shared" si="2"/>
        <v>50</v>
      </c>
      <c r="N5" s="3">
        <f t="shared" si="3"/>
        <v>25</v>
      </c>
      <c r="O5" s="2" t="s">
        <v>23</v>
      </c>
      <c r="P5" s="2" t="s">
        <v>28</v>
      </c>
      <c r="Q5" s="2" t="s">
        <v>25</v>
      </c>
      <c r="R5" s="2"/>
      <c r="S5" s="2" t="s">
        <v>33</v>
      </c>
    </row>
    <row r="6" spans="1:19" x14ac:dyDescent="0.3">
      <c r="A6" s="4" t="s">
        <v>29</v>
      </c>
      <c r="B6" s="4" t="s">
        <v>34</v>
      </c>
      <c r="C6" s="4">
        <v>14</v>
      </c>
      <c r="D6" s="5">
        <v>5330</v>
      </c>
      <c r="E6" s="4" t="s">
        <v>22</v>
      </c>
      <c r="F6" s="9">
        <f ca="1">TODAY()</f>
        <v>46145</v>
      </c>
      <c r="G6" s="12">
        <v>0.40069444444444446</v>
      </c>
      <c r="H6" s="10">
        <f t="shared" si="0"/>
        <v>0.48402777777777778</v>
      </c>
      <c r="I6" s="5">
        <v>120</v>
      </c>
      <c r="J6" s="5">
        <v>100</v>
      </c>
      <c r="K6" s="5">
        <v>93</v>
      </c>
      <c r="L6" s="5">
        <f t="shared" si="1"/>
        <v>7</v>
      </c>
      <c r="M6" s="5">
        <f t="shared" si="2"/>
        <v>373.1</v>
      </c>
      <c r="N6" s="5">
        <f t="shared" si="3"/>
        <v>186.55</v>
      </c>
      <c r="O6" s="4" t="s">
        <v>23</v>
      </c>
      <c r="P6" s="4" t="s">
        <v>24</v>
      </c>
      <c r="Q6" s="4" t="s">
        <v>25</v>
      </c>
      <c r="R6" s="4"/>
      <c r="S6" s="11" t="s">
        <v>33</v>
      </c>
    </row>
    <row r="7" spans="1:19" x14ac:dyDescent="0.3">
      <c r="A7" s="2" t="s">
        <v>29</v>
      </c>
      <c r="B7" s="2" t="s">
        <v>34</v>
      </c>
      <c r="C7" s="2">
        <v>14</v>
      </c>
      <c r="D7" s="3">
        <v>5330</v>
      </c>
      <c r="E7" s="2" t="s">
        <v>26</v>
      </c>
      <c r="F7" s="6">
        <v>46139</v>
      </c>
      <c r="G7" s="7">
        <v>0.51041666666666663</v>
      </c>
      <c r="H7" s="7">
        <f t="shared" si="0"/>
        <v>0.59375</v>
      </c>
      <c r="I7" s="3">
        <v>120</v>
      </c>
      <c r="J7" s="3">
        <v>100</v>
      </c>
      <c r="K7" s="3">
        <v>93</v>
      </c>
      <c r="L7" s="3">
        <f t="shared" si="1"/>
        <v>7</v>
      </c>
      <c r="M7" s="3">
        <f t="shared" si="2"/>
        <v>373.1</v>
      </c>
      <c r="N7" s="3">
        <f t="shared" si="3"/>
        <v>186.55</v>
      </c>
      <c r="O7" s="2" t="s">
        <v>23</v>
      </c>
      <c r="P7" s="2" t="s">
        <v>24</v>
      </c>
      <c r="Q7" s="2" t="s">
        <v>25</v>
      </c>
      <c r="R7" s="2"/>
      <c r="S7" s="2" t="s">
        <v>33</v>
      </c>
    </row>
    <row r="8" spans="1:19" x14ac:dyDescent="0.3">
      <c r="A8" s="4" t="s">
        <v>29</v>
      </c>
      <c r="B8" s="4" t="s">
        <v>34</v>
      </c>
      <c r="C8" s="4">
        <v>14</v>
      </c>
      <c r="D8" s="5">
        <v>5330</v>
      </c>
      <c r="E8" s="4" t="s">
        <v>27</v>
      </c>
      <c r="F8" s="9">
        <v>46139</v>
      </c>
      <c r="G8" s="12">
        <v>0.63124999999999998</v>
      </c>
      <c r="H8" s="12">
        <f t="shared" si="0"/>
        <v>0.71458333333333335</v>
      </c>
      <c r="I8" s="5">
        <v>120</v>
      </c>
      <c r="J8" s="5">
        <v>100</v>
      </c>
      <c r="K8" s="5">
        <v>98</v>
      </c>
      <c r="L8" s="5">
        <f t="shared" si="1"/>
        <v>2</v>
      </c>
      <c r="M8" s="5">
        <f t="shared" si="2"/>
        <v>106.60000000000001</v>
      </c>
      <c r="N8" s="5">
        <f t="shared" si="3"/>
        <v>53.300000000000004</v>
      </c>
      <c r="O8" s="4" t="s">
        <v>23</v>
      </c>
      <c r="P8" s="4" t="s">
        <v>28</v>
      </c>
      <c r="Q8" s="4" t="s">
        <v>25</v>
      </c>
      <c r="R8" s="4"/>
      <c r="S8" s="11" t="s">
        <v>33</v>
      </c>
    </row>
    <row r="9" spans="1:19" x14ac:dyDescent="0.3">
      <c r="A9" s="2" t="s">
        <v>30</v>
      </c>
      <c r="B9" s="2" t="s">
        <v>35</v>
      </c>
      <c r="C9" s="2">
        <v>15</v>
      </c>
      <c r="D9" s="3">
        <v>5800</v>
      </c>
      <c r="E9" s="2" t="s">
        <v>22</v>
      </c>
      <c r="F9" s="6">
        <f ca="1">TODAY()</f>
        <v>46145</v>
      </c>
      <c r="G9" s="7">
        <v>0.47291666666666665</v>
      </c>
      <c r="H9" s="7">
        <f t="shared" si="0"/>
        <v>0.55625000000000002</v>
      </c>
      <c r="I9" s="3">
        <v>120</v>
      </c>
      <c r="J9" s="3">
        <v>84</v>
      </c>
      <c r="K9" s="3">
        <v>73</v>
      </c>
      <c r="L9" s="3">
        <f t="shared" si="1"/>
        <v>11</v>
      </c>
      <c r="M9" s="3">
        <f t="shared" si="2"/>
        <v>638</v>
      </c>
      <c r="N9" s="3">
        <f t="shared" si="3"/>
        <v>319</v>
      </c>
      <c r="O9" s="2" t="s">
        <v>36</v>
      </c>
      <c r="P9" s="2" t="s">
        <v>24</v>
      </c>
      <c r="Q9" s="2" t="s">
        <v>25</v>
      </c>
      <c r="R9" s="2"/>
      <c r="S9" s="2" t="s">
        <v>37</v>
      </c>
    </row>
    <row r="10" spans="1:19" x14ac:dyDescent="0.3">
      <c r="A10" s="4" t="s">
        <v>30</v>
      </c>
      <c r="B10" s="4" t="s">
        <v>35</v>
      </c>
      <c r="C10" s="4">
        <v>15</v>
      </c>
      <c r="D10" s="5">
        <v>5800</v>
      </c>
      <c r="E10" s="4" t="s">
        <v>26</v>
      </c>
      <c r="F10" s="9">
        <v>46139</v>
      </c>
      <c r="G10" s="12">
        <v>0.56111111111111112</v>
      </c>
      <c r="H10" s="12">
        <f t="shared" si="0"/>
        <v>0.64444444444444449</v>
      </c>
      <c r="I10" s="5">
        <v>120</v>
      </c>
      <c r="J10" s="5">
        <v>73</v>
      </c>
      <c r="K10" s="5">
        <v>55</v>
      </c>
      <c r="L10" s="5">
        <f t="shared" si="1"/>
        <v>18</v>
      </c>
      <c r="M10" s="5">
        <f t="shared" si="2"/>
        <v>1044</v>
      </c>
      <c r="N10" s="5">
        <f t="shared" si="3"/>
        <v>522</v>
      </c>
      <c r="O10" s="4" t="s">
        <v>36</v>
      </c>
      <c r="P10" s="4" t="s">
        <v>24</v>
      </c>
      <c r="Q10" s="4" t="s">
        <v>25</v>
      </c>
      <c r="R10" s="4"/>
      <c r="S10" s="11" t="s">
        <v>37</v>
      </c>
    </row>
    <row r="11" spans="1:19" x14ac:dyDescent="0.3">
      <c r="A11" s="2" t="s">
        <v>30</v>
      </c>
      <c r="B11" s="2" t="s">
        <v>35</v>
      </c>
      <c r="C11" s="2">
        <v>15</v>
      </c>
      <c r="D11" s="3">
        <v>5800</v>
      </c>
      <c r="E11" s="2" t="s">
        <v>27</v>
      </c>
      <c r="F11" s="6">
        <v>46139</v>
      </c>
      <c r="G11" s="7">
        <v>0.64930555555555558</v>
      </c>
      <c r="H11" s="7">
        <f t="shared" si="0"/>
        <v>0.73263888888888895</v>
      </c>
      <c r="I11" s="3">
        <v>120</v>
      </c>
      <c r="J11" s="3">
        <v>55</v>
      </c>
      <c r="K11" s="3">
        <v>41</v>
      </c>
      <c r="L11" s="3">
        <f t="shared" si="1"/>
        <v>14</v>
      </c>
      <c r="M11" s="3">
        <f>IFERROR(L11/100*D11,"")</f>
        <v>812.00000000000011</v>
      </c>
      <c r="N11" s="3">
        <f>IFERROR(M11/(I11/60),"")</f>
        <v>406.00000000000006</v>
      </c>
      <c r="O11" s="2" t="s">
        <v>36</v>
      </c>
      <c r="P11" s="2" t="s">
        <v>28</v>
      </c>
      <c r="Q11" s="2" t="s">
        <v>25</v>
      </c>
      <c r="R11" s="2"/>
      <c r="S11" s="2" t="s">
        <v>37</v>
      </c>
    </row>
    <row r="12" spans="1:19" x14ac:dyDescent="0.3">
      <c r="A12" s="4" t="s">
        <v>31</v>
      </c>
      <c r="B12" s="4" t="s">
        <v>38</v>
      </c>
      <c r="C12" s="4">
        <v>16</v>
      </c>
      <c r="D12" s="5">
        <v>5000</v>
      </c>
      <c r="E12" s="4" t="s">
        <v>22</v>
      </c>
      <c r="F12" s="9">
        <v>46139</v>
      </c>
      <c r="G12" s="12">
        <v>0.59166666666666667</v>
      </c>
      <c r="H12" s="12">
        <f t="shared" si="0"/>
        <v>0.67500000000000004</v>
      </c>
      <c r="I12" s="5">
        <v>120</v>
      </c>
      <c r="J12" s="5">
        <v>70</v>
      </c>
      <c r="K12" s="5">
        <v>61</v>
      </c>
      <c r="L12" s="5">
        <f t="shared" si="1"/>
        <v>9</v>
      </c>
      <c r="M12" s="5">
        <f t="shared" si="2"/>
        <v>450</v>
      </c>
      <c r="N12" s="5">
        <f t="shared" si="3"/>
        <v>225</v>
      </c>
      <c r="O12" s="4" t="s">
        <v>36</v>
      </c>
      <c r="P12" s="4" t="s">
        <v>24</v>
      </c>
      <c r="Q12" s="4" t="s">
        <v>25</v>
      </c>
      <c r="R12" s="4"/>
      <c r="S12" s="4" t="s">
        <v>39</v>
      </c>
    </row>
    <row r="13" spans="1:19" x14ac:dyDescent="0.3">
      <c r="A13" s="2" t="s">
        <v>31</v>
      </c>
      <c r="B13" s="2" t="s">
        <v>38</v>
      </c>
      <c r="C13" s="2">
        <v>16</v>
      </c>
      <c r="D13" s="3">
        <v>5000</v>
      </c>
      <c r="E13" s="2" t="s">
        <v>26</v>
      </c>
      <c r="F13" s="6">
        <v>46139</v>
      </c>
      <c r="G13" s="7">
        <v>0.68194444444444446</v>
      </c>
      <c r="H13" s="7">
        <f t="shared" si="0"/>
        <v>0.76527777777777783</v>
      </c>
      <c r="I13" s="3">
        <v>120</v>
      </c>
      <c r="J13" s="3">
        <v>64</v>
      </c>
      <c r="K13" s="3">
        <v>57</v>
      </c>
      <c r="L13" s="3">
        <f t="shared" si="1"/>
        <v>7</v>
      </c>
      <c r="M13" s="3">
        <f t="shared" si="2"/>
        <v>350.00000000000006</v>
      </c>
      <c r="N13" s="3">
        <f t="shared" si="3"/>
        <v>175.00000000000003</v>
      </c>
      <c r="O13" s="2" t="s">
        <v>36</v>
      </c>
      <c r="P13" s="2" t="s">
        <v>24</v>
      </c>
      <c r="Q13" s="2" t="s">
        <v>25</v>
      </c>
      <c r="R13" s="2"/>
      <c r="S13" s="2" t="s">
        <v>39</v>
      </c>
    </row>
    <row r="14" spans="1:19" x14ac:dyDescent="0.3">
      <c r="A14" s="4" t="s">
        <v>31</v>
      </c>
      <c r="B14" s="4" t="s">
        <v>38</v>
      </c>
      <c r="C14" s="4">
        <v>16</v>
      </c>
      <c r="D14" s="5">
        <v>5000</v>
      </c>
      <c r="E14" s="4" t="s">
        <v>27</v>
      </c>
      <c r="F14" s="9">
        <v>46139</v>
      </c>
      <c r="G14" s="12">
        <v>0.76874999999999993</v>
      </c>
      <c r="H14" s="12">
        <f t="shared" si="0"/>
        <v>0.8520833333333333</v>
      </c>
      <c r="I14" s="5">
        <v>120</v>
      </c>
      <c r="J14" s="5">
        <v>57</v>
      </c>
      <c r="K14" s="5">
        <v>56</v>
      </c>
      <c r="L14" s="5">
        <f t="shared" si="1"/>
        <v>1</v>
      </c>
      <c r="M14" s="5">
        <f t="shared" si="2"/>
        <v>50</v>
      </c>
      <c r="N14" s="5">
        <f t="shared" si="3"/>
        <v>25</v>
      </c>
      <c r="O14" s="4" t="s">
        <v>36</v>
      </c>
      <c r="P14" s="4" t="s">
        <v>28</v>
      </c>
      <c r="Q14" s="4" t="s">
        <v>25</v>
      </c>
      <c r="R14" s="4"/>
      <c r="S14" s="4" t="s">
        <v>39</v>
      </c>
    </row>
    <row r="15" spans="1:19" x14ac:dyDescent="0.3">
      <c r="A15" s="2" t="s">
        <v>32</v>
      </c>
      <c r="B15" s="2" t="s">
        <v>34</v>
      </c>
      <c r="C15" s="2">
        <v>14</v>
      </c>
      <c r="D15" s="3">
        <v>5330</v>
      </c>
      <c r="E15" s="2" t="s">
        <v>22</v>
      </c>
      <c r="F15" s="6">
        <v>46139</v>
      </c>
      <c r="G15" s="7">
        <v>0.92361111111111116</v>
      </c>
      <c r="H15" s="7">
        <f t="shared" si="0"/>
        <v>1.0069444444444444</v>
      </c>
      <c r="I15" s="3">
        <v>120</v>
      </c>
      <c r="J15" s="3">
        <v>77</v>
      </c>
      <c r="K15" s="3">
        <v>62</v>
      </c>
      <c r="L15" s="3">
        <f t="shared" si="1"/>
        <v>15</v>
      </c>
      <c r="M15" s="3">
        <f t="shared" si="2"/>
        <v>799.5</v>
      </c>
      <c r="N15" s="3">
        <f t="shared" si="3"/>
        <v>399.75</v>
      </c>
      <c r="O15" s="2" t="s">
        <v>36</v>
      </c>
      <c r="P15" s="2" t="s">
        <v>24</v>
      </c>
      <c r="Q15" s="2" t="s">
        <v>25</v>
      </c>
      <c r="R15" s="2"/>
      <c r="S15" s="2" t="s">
        <v>37</v>
      </c>
    </row>
    <row r="16" spans="1:19" x14ac:dyDescent="0.3">
      <c r="A16" s="4" t="s">
        <v>32</v>
      </c>
      <c r="B16" s="4" t="s">
        <v>34</v>
      </c>
      <c r="C16" s="4">
        <v>14</v>
      </c>
      <c r="D16" s="5">
        <v>5330</v>
      </c>
      <c r="E16" s="4" t="s">
        <v>26</v>
      </c>
      <c r="F16" s="9">
        <v>46140</v>
      </c>
      <c r="G16" s="12">
        <v>0.82986111111111116</v>
      </c>
      <c r="H16" s="12">
        <f t="shared" si="0"/>
        <v>0.91319444444444453</v>
      </c>
      <c r="I16" s="5">
        <v>120</v>
      </c>
      <c r="J16" s="5">
        <v>55</v>
      </c>
      <c r="K16" s="5">
        <v>44</v>
      </c>
      <c r="L16" s="5">
        <f t="shared" si="1"/>
        <v>11</v>
      </c>
      <c r="M16" s="5">
        <f t="shared" si="2"/>
        <v>586.29999999999995</v>
      </c>
      <c r="N16" s="5">
        <f t="shared" si="3"/>
        <v>293.14999999999998</v>
      </c>
      <c r="O16" s="4" t="s">
        <v>36</v>
      </c>
      <c r="P16" s="4" t="s">
        <v>24</v>
      </c>
      <c r="Q16" s="4" t="s">
        <v>25</v>
      </c>
      <c r="R16" s="4"/>
      <c r="S16" s="4" t="s">
        <v>37</v>
      </c>
    </row>
    <row r="17" spans="1:19" x14ac:dyDescent="0.3">
      <c r="A17" s="2" t="s">
        <v>32</v>
      </c>
      <c r="B17" s="2" t="s">
        <v>34</v>
      </c>
      <c r="C17" s="2">
        <v>14</v>
      </c>
      <c r="D17" s="3">
        <v>5330</v>
      </c>
      <c r="E17" s="2" t="s">
        <v>27</v>
      </c>
      <c r="F17" s="6">
        <v>46140</v>
      </c>
      <c r="G17" s="7">
        <v>0.92013888888888884</v>
      </c>
      <c r="H17" s="7">
        <f>G17+(120/1440)</f>
        <v>1.0034722222222221</v>
      </c>
      <c r="I17" s="3">
        <v>120</v>
      </c>
      <c r="J17" s="3">
        <v>45</v>
      </c>
      <c r="K17" s="3">
        <v>31</v>
      </c>
      <c r="L17" s="3">
        <f t="shared" si="1"/>
        <v>14</v>
      </c>
      <c r="M17" s="3">
        <f t="shared" si="2"/>
        <v>746.2</v>
      </c>
      <c r="N17" s="3">
        <f t="shared" si="3"/>
        <v>373.1</v>
      </c>
      <c r="O17" s="2" t="s">
        <v>36</v>
      </c>
      <c r="P17" s="2" t="s">
        <v>28</v>
      </c>
      <c r="Q17" s="2" t="s">
        <v>25</v>
      </c>
      <c r="R17" s="2"/>
      <c r="S17" s="2" t="s">
        <v>37</v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AARON REYES PALACIOS</cp:lastModifiedBy>
  <dcterms:created xsi:type="dcterms:W3CDTF">2026-04-27T12:15:08Z</dcterms:created>
  <dcterms:modified xsi:type="dcterms:W3CDTF">2026-05-03T22:49:06Z</dcterms:modified>
</cp:coreProperties>
</file>