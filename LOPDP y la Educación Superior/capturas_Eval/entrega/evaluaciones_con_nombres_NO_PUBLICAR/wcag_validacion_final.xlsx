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a" sheetId="1" state="visible" r:id="rId3"/>
    <sheet name="validacion" sheetId="2" state="visible" r:id="rId4"/>
    <sheet name="doble_evaluacion" sheetId="3" state="visible" r:id="rId5"/>
    <sheet name="pares_kappa" sheetId="4" state="visible" r:id="rId6"/>
  </sheets>
  <definedNames>
    <definedName function="false" hidden="true" localSheetId="2" name="_xlnm._FilterDatabase" vbProcedure="false">doble_evaluacion!$A$1:$U$16</definedName>
    <definedName function="false" hidden="true" localSheetId="3" name="_xlnm._FilterDatabase" vbProcedure="false">pares_kappa!$A$1:$L$28</definedName>
    <definedName function="false" hidden="true" localSheetId="1" name="_xlnm._FilterDatabase" vbProcedure="false">validacion!$A$1:$S$46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<sst xmlns="http://schemas.openxmlformats.org/spreadsheetml/2006/main" count="1075" uniqueCount="248">
  <si>
    <t xml:space="preserve">Validacion manual de accesibilidad WCAG - datos finales de la submuestra de 15 sitios</t>
  </si>
  <si>
    <t xml:space="preserve">Corte: 1 de septiembre de 2026</t>
  </si>
  <si>
    <t xml:space="preserve">Criterios: 1.1.1 contenido no textual, 1.4.3 contraste minimo AA, 2.4.4 proposito del enlace en su contexto.</t>
  </si>
  <si>
    <t xml:space="preserve">Codificacion: 1 = cumple (f=0)   P = parcial (f/n &lt;= 0,20)   0 = no cumple (f/n &gt; 0,20).</t>
  </si>
  <si>
    <t xml:space="preserve">Hoja validacion: 15 sitios x 3 criterios = 45 filas. Recoge al evaluador retenido de cada sitio tras auditar las doce entregas de diez evaluadores.</t>
  </si>
  <si>
    <t xml:space="preserve">Hoja doble_evaluacion: 5 sitios de control x 3 criterios = 15 filas. Segunda persona evaluadora, con la auditoria de cada captura.</t>
  </si>
  <si>
    <t xml:space="preserve">Hoja pares_kappa: los mismos 5 sitios, emparejando primera y segunda evaluacion.</t>
  </si>
  <si>
    <t xml:space="preserve">Columna estado de la hoja validacion:</t>
  </si>
  <si>
    <t xml:space="preserve">   ADMITIDA               codigo coherente con n/f, evidencia suficiente y sin conflicto pendiente.</t>
  </si>
  <si>
    <t xml:space="preserve">   ADMITIDA CON RESERVA   codigo coherente, con una reserva de metodo o una discrepancia anotada en el libro de auditoria.</t>
  </si>
  <si>
    <t xml:space="preserve">   NO ADMISIBLE           el n/f entregado no sostiene los codigos declarados. Se conservan como referencia y no deben entrar en el analisis.</t>
  </si>
  <si>
    <t xml:space="preserve">Columna codigo_admisible de la hoja doble_evaluacion:</t>
  </si>
  <si>
    <t xml:space="preserve">   Repite el codigo entregado salvo en IAEN 2.4.4, donde la propia captura de la evaluadora muestra un enlace cuyo unico texto es 'Clic aqui'.</t>
  </si>
  <si>
    <t xml:space="preserve">   Ese hallazgo prueba f mayor o igual que 1 y descarta el codigo 1, pero no permite separar P de 0 sin un recuento del criterio, que no entrego.</t>
  </si>
  <si>
    <t xml:space="preserve">   Por eso la celda se marca EXCLUIDO en vez de reasignarse: es la opcion que no le atribuye ningun codigo que ella no haya podido justificar.</t>
  </si>
  <si>
    <t xml:space="preserve">Fiabilidad entre evaluadores (escenario adoptado, con IAEN 2.4.4 excluido):</t>
  </si>
  <si>
    <t xml:space="preserve">   14 pares, 10 coincidencias, po = 0,7143, pe = 0,4082, kappa de Cohen = 0,5172, kappa ponderada lineal = 0,4948.</t>
  </si>
  <si>
    <t xml:space="preserve">   Con los 15 pares sin corregir: 10 coincidencias, kappa = 0,4565. Ninguno alcanza el umbral de 0,60 fijado para el manuscrito.</t>
  </si>
  <si>
    <t xml:space="preserve">Sitios sin par: los diez que no son de control. Sitios no admisibles: HKUST (58) y ECOTEC (124).</t>
  </si>
  <si>
    <t xml:space="preserve">La auditoria completa por evaluador, las discrepancias entre evaluadores y el detalle del calculo estan en validacion_manual_wcag_auditoria_lote.xlsx.</t>
  </si>
  <si>
    <t xml:space="preserve">id</t>
  </si>
  <si>
    <t xml:space="preserve">grupo</t>
  </si>
  <si>
    <t xml:space="preserve">sigla</t>
  </si>
  <si>
    <t xml:space="preserve">url</t>
  </si>
  <si>
    <t xml:space="preserve">criterio</t>
  </si>
  <si>
    <t xml:space="preserve">criterio_nombre</t>
  </si>
  <si>
    <t xml:space="preserve">codigo</t>
  </si>
  <si>
    <t xml:space="preserve">n</t>
  </si>
  <si>
    <t xml:space="preserve">f</t>
  </si>
  <si>
    <t xml:space="preserve">f_sobre_n</t>
  </si>
  <si>
    <t xml:space="preserve">evaluador</t>
  </si>
  <si>
    <t xml:space="preserve">evaluador_nombre</t>
  </si>
  <si>
    <t xml:space="preserve">fecha</t>
  </si>
  <si>
    <t xml:space="preserve">hora_inicio</t>
  </si>
  <si>
    <t xml:space="preserve">hora_fin</t>
  </si>
  <si>
    <t xml:space="preserve">configuracion</t>
  </si>
  <si>
    <t xml:space="preserve">capturas</t>
  </si>
  <si>
    <t xml:space="preserve">estado</t>
  </si>
  <si>
    <t xml:space="preserve">dictamen_tecnico</t>
  </si>
  <si>
    <t xml:space="preserve">mundo</t>
  </si>
  <si>
    <t xml:space="preserve">UC Berkeley</t>
  </si>
  <si>
    <t xml:space="preserve">https://www.berkeley.edu</t>
  </si>
  <si>
    <t xml:space="preserve">1.1.1</t>
  </si>
  <si>
    <t xml:space="preserve">contenido no textual</t>
  </si>
  <si>
    <t xml:space="preserve">0</t>
  </si>
  <si>
    <t xml:space="preserve">CALLE</t>
  </si>
  <si>
    <t xml:space="preserve">Calle Delgado Kamila Annabella</t>
  </si>
  <si>
    <t xml:space="preserve">2026-08-27</t>
  </si>
  <si>
    <t xml:space="preserve">19:01</t>
  </si>
  <si>
    <t xml:space="preserve">19:55</t>
  </si>
  <si>
    <t xml:space="preserve">&lt;100 % (declarado)</t>
  </si>
  <si>
    <t xml:space="preserve">ADMITIDA</t>
  </si>
  <si>
    <t xml:space="preserve">Informe PDF de 15 paginas con tabla n/f por criterio y una captura por criterio y sitio. Coincide con el dictamen previo del sitio (1.1.1=0 confirmado, 2.4.4=1 tras descartar enlaces identicos de igual proposito).</t>
  </si>
  <si>
    <t xml:space="preserve">1.4.3</t>
  </si>
  <si>
    <t xml:space="preserve">contraste minimo AA</t>
  </si>
  <si>
    <t xml:space="preserve">1</t>
  </si>
  <si>
    <t xml:space="preserve">2.4.4</t>
  </si>
  <si>
    <t xml:space="preserve">proposito del enlace en su contexto</t>
  </si>
  <si>
    <t xml:space="preserve">UCL</t>
  </si>
  <si>
    <t xml:space="preserve">https://www.ucl.ac.uk</t>
  </si>
  <si>
    <t xml:space="preserve">20:13</t>
  </si>
  <si>
    <t xml:space="preserve">20:48</t>
  </si>
  <si>
    <t xml:space="preserve">Coincide con el dictamen previo de UCL (1.1.1=1 aplicando la regla de redundancia H2; 1.4.3 f=0; 2.4.4=P).</t>
  </si>
  <si>
    <t xml:space="preserve">P</t>
  </si>
  <si>
    <t xml:space="preserve">Cornell</t>
  </si>
  <si>
    <t xml:space="preserve">https://www.cornell.edu</t>
  </si>
  <si>
    <t xml:space="preserve">20:54</t>
  </si>
  <si>
    <t xml:space="preserve">21:26</t>
  </si>
  <si>
    <t xml:space="preserve">Identifica el alt vacio de la seccion honeycomb y el CTA 'Keep reading' repetido con diez href distintos, verificado con el buscador de Elements.</t>
  </si>
  <si>
    <t xml:space="preserve">NUS</t>
  </si>
  <si>
    <t xml:space="preserve">https://nus.edu.sg</t>
  </si>
  <si>
    <t xml:space="preserve">21:33</t>
  </si>
  <si>
    <t xml:space="preserve">22:24</t>
  </si>
  <si>
    <t xml:space="preserve">ADMITIDA CON RESERVA</t>
  </si>
  <si>
    <t xml:space="preserve">n=3 en 1.4.3 es el tamano muestral mas bajo del lote. Da por valida la tecnica title en img con alt vacio, lo que ACCNAME no respalda; ver evidencia de Figueroa para los iconos del pie.</t>
  </si>
  <si>
    <t xml:space="preserve">Northwestern</t>
  </si>
  <si>
    <t xml:space="preserve">https://www.northwestern.edu</t>
  </si>
  <si>
    <t xml:space="preserve">22:40</t>
  </si>
  <si>
    <t xml:space="preserve">23:28</t>
  </si>
  <si>
    <t xml:space="preserve">Comprobado en vivo el 2026-09-01: 35 img en portada, ninguna sin alt ni con alt vacio. Respalda el codigo 1 frente a los codigos 0 de Beltran y Pallo.</t>
  </si>
  <si>
    <t xml:space="preserve">Manchester</t>
  </si>
  <si>
    <t xml:space="preserve">https://www.manchester.ac.uk</t>
  </si>
  <si>
    <t xml:space="preserve">BELTRAN</t>
  </si>
  <si>
    <t xml:space="preserve">Beltran Montiel Fred Adrian</t>
  </si>
  <si>
    <t xml:space="preserve">2026-08-17</t>
  </si>
  <si>
    <t xml:space="preserve">10:30</t>
  </si>
  <si>
    <t xml:space="preserve">10:56</t>
  </si>
  <si>
    <t xml:space="preserve">100 %</t>
  </si>
  <si>
    <t xml:space="preserve">Unico evaluador de Manchester. Capturas con el recuadro de relacion de contraste de Chrome (5.57:1, AA 4.5 correcto) a 1280x720 y zoom 100 %.</t>
  </si>
  <si>
    <t xml:space="preserve">HKUST</t>
  </si>
  <si>
    <t xml:space="preserve">https://hkust.edu.hk/</t>
  </si>
  <si>
    <t xml:space="preserve">TEJADA</t>
  </si>
  <si>
    <t xml:space="preserve">Tejada Bajana Luis Alejandro</t>
  </si>
  <si>
    <t xml:space="preserve">10:00</t>
  </si>
  <si>
    <t xml:space="preserve">10:21</t>
  </si>
  <si>
    <t xml:space="preserve">50 %</t>
  </si>
  <si>
    <t xml:space="preserve">NO ADMISIBLE</t>
  </si>
  <si>
    <t xml:space="preserve">Declara un unico n/f agregado (n=25 f=4) para los tres criterios, de modo que un mismo cociente 0,16 sustenta a la vez P y 0. Una captura muestra la consola con un script pegado que recorre y resalta enlaces, es decir la muestra de elementos se genero por script.</t>
  </si>
  <si>
    <t xml:space="preserve">ecuador</t>
  </si>
  <si>
    <t xml:space="preserve">UNESUM</t>
  </si>
  <si>
    <t xml:space="preserve">https://unesum.edu.ec</t>
  </si>
  <si>
    <t xml:space="preserve">TAIPE</t>
  </si>
  <si>
    <t xml:space="preserve">Taipe Mora Zaida Melissa</t>
  </si>
  <si>
    <t xml:space="preserve">16:53</t>
  </si>
  <si>
    <t xml:space="preserve">17:35</t>
  </si>
  <si>
    <t xml:space="preserve">1280x720, InPrivate, zoom 75 %</t>
  </si>
  <si>
    <t xml:space="preserve">Unica evaluacion de UNESUM. Su propia captura de 1.4.3 muestra 3,46:1 con la marca 'AA: 3.0 correcto' y 'AAA: 4.5 no superado': es texto grande que cumple AA, asi que el unico fallo declarado no es fallo de 1.4.3 y el codigo correcto es 1. El recuento de 2.4.4 procede de un listado generado por script en la consola.</t>
  </si>
  <si>
    <t xml:space="preserve">USECIPOL</t>
  </si>
  <si>
    <t xml:space="preserve">https://usecipol.edu.ec</t>
  </si>
  <si>
    <t xml:space="preserve">13:30</t>
  </si>
  <si>
    <t xml:space="preserve">13:55</t>
  </si>
  <si>
    <t xml:space="preserve">Evidencia 1.1.1 solida: img de patron con alt='Patron decorativo' resaltada en Elements. El 1.4.3=1 repite el f=0 ya corregido a P en el dictamen previo de USECIPOL.</t>
  </si>
  <si>
    <t xml:space="preserve">IAEN</t>
  </si>
  <si>
    <t xml:space="preserve">https://www.iaen.edu.ec</t>
  </si>
  <si>
    <t xml:space="preserve">PALLO</t>
  </si>
  <si>
    <t xml:space="preserve">Pallo Pinto Daniel Alejandro</t>
  </si>
  <si>
    <t xml:space="preserve">09:45</t>
  </si>
  <si>
    <t xml:space="preserve">10:50</t>
  </si>
  <si>
    <t xml:space="preserve">Comprobado en vivo el 2026-09-01: la portada declara aria-label 'ChatGPT Image 24 jun 2026, 10_44_26 a.m.' y 'Firefly_Gemini Flash...140699'. El 2.02:1 sobre rgb(110,193,228)=#6EC1E4 coincide con el dictamen previo de IAEN. Su 2.4.4=P subestima frente a f=19/26 de Panama.</t>
  </si>
  <si>
    <t xml:space="preserve">ULVR</t>
  </si>
  <si>
    <t xml:space="preserve">https://www.ulvr.edu.ec</t>
  </si>
  <si>
    <t xml:space="preserve">11:15</t>
  </si>
  <si>
    <t xml:space="preserve">Comprobado en vivo: las 12 img de la portada llevan alt vacio, incluido logo_mini.png. Confirma f=1 y refuta el f=0 de Panama. Panel de Accesibilidad con Name='' en la tarjeta GRADO.</t>
  </si>
  <si>
    <t xml:space="preserve">UTPL</t>
  </si>
  <si>
    <t xml:space="preserve">https://www.utpl.edu.ec</t>
  </si>
  <si>
    <t xml:space="preserve">RIOS</t>
  </si>
  <si>
    <t xml:space="preserve">Rios Cuyabazo Jhon Kevin</t>
  </si>
  <si>
    <t xml:space="preserve">2026-08-24</t>
  </si>
  <si>
    <t xml:space="preserve">10:45</t>
  </si>
  <si>
    <t xml:space="preserve">11:30</t>
  </si>
  <si>
    <t xml:space="preserve">1280x720; navegador con perfil y extensiones, no incognito</t>
  </si>
  <si>
    <t xml:space="preserve">Unica evaluacion de UTPL y la unica del lote con exactamente una captura por criterio, las tres correctas: img de costos.gif sin atributo alt; etiquetas 'LUGAR' y 'MODALIDAD' en #94a3b8 a 12 px con 2,56:1 y AA 4,5 no superado; boton flotante de WhatsApp cuyo unico contenido es un svg con aria-hidden. No declara observaciones descriptivas, solo n y f.</t>
  </si>
  <si>
    <t xml:space="preserve">UPS</t>
  </si>
  <si>
    <t xml:space="preserve">https://www.ups.edu.ec</t>
  </si>
  <si>
    <t xml:space="preserve">CRUZ</t>
  </si>
  <si>
    <t xml:space="preserve">Cruz Perez Justyn Keith</t>
  </si>
  <si>
    <t xml:space="preserve">10:11</t>
  </si>
  <si>
    <t xml:space="preserve">10:25</t>
  </si>
  <si>
    <t xml:space="preserve">Unico evaluador de UPS. Configuracion correcta y captura con tooltip de accesibilidad (Name vacio) sobre img alt vacio del slider. Aporta 1 de las 3 capturas exigidas por la seccion 6.1; la marca horaria de la captura (28/08 04:30) no concuerda con la fecha declarada.</t>
  </si>
  <si>
    <t xml:space="preserve">UTI</t>
  </si>
  <si>
    <t xml:space="preserve">https://www.indoamerica.edu.ec</t>
  </si>
  <si>
    <t xml:space="preserve">10:35</t>
  </si>
  <si>
    <t xml:space="preserve">Comprobado en vivo: 53 img, 46 con alt vacio y 2 sin atributo alt, lo que respalda el codigo 0 y refuta la P de Tejada. Su 2.4.4=1 queda en disputa frente a los enlaces sin nombre accesible documentados por Tejada.</t>
  </si>
  <si>
    <t xml:space="preserve">ECOTEC</t>
  </si>
  <si>
    <t xml:space="preserve">https://ecotec.edu.ec</t>
  </si>
  <si>
    <t xml:space="preserve">11:12</t>
  </si>
  <si>
    <t xml:space="preserve">Mismo n/f agregado (n=25 f=1): incompatible con el codigo 1 de 1.4.3, que exige f=0. El informe docx no documenta el criterio 1.4.3 de ECOTEC.</t>
  </si>
  <si>
    <t xml:space="preserve">codigo_entregado</t>
  </si>
  <si>
    <t xml:space="preserve">codigo_admisible</t>
  </si>
  <si>
    <t xml:space="preserve">n_declarado_unico_por_sitio</t>
  </si>
  <si>
    <t xml:space="preserve">f_declarado_unico_por_sitio</t>
  </si>
  <si>
    <t xml:space="preserve">coherente_con_nf</t>
  </si>
  <si>
    <t xml:space="preserve">fecha_declarada</t>
  </si>
  <si>
    <t xml:space="preserve">archivo_captura</t>
  </si>
  <si>
    <t xml:space="preserve">nodo_inspeccionado</t>
  </si>
  <si>
    <t xml:space="preserve">documenta_criterio</t>
  </si>
  <si>
    <t xml:space="preserve">marca_horaria_captura</t>
  </si>
  <si>
    <t xml:space="preserve">tipo_correccion</t>
  </si>
  <si>
    <t xml:space="preserve">justificacion</t>
  </si>
  <si>
    <t xml:space="preserve">si</t>
  </si>
  <si>
    <t xml:space="preserve">ANDREA</t>
  </si>
  <si>
    <t xml:space="preserve">Andrea</t>
  </si>
  <si>
    <t xml:space="preserve">2026-08-25</t>
  </si>
  <si>
    <t xml:space="preserve">UTEQ_BERKELEY_1.1.1.png</t>
  </si>
  <si>
    <t xml:space="preserve">img con alt="A scientist wearing a blue lab coat that reads 'university of california' on the left arm stands holding a pipette before machine.", loading=lazy, en el bloque 'Our research improves lives'</t>
  </si>
  <si>
    <t xml:space="preserve">SI</t>
  </si>
  <si>
    <t xml:space="preserve">25/08/2026 09:10</t>
  </si>
  <si>
    <t xml:space="preserve">NINGUNA</t>
  </si>
  <si>
    <t xml:space="preserve">Una captura de un elemento que cumple no demuestra que f sea 0 en el resto de la muestra. El codigo se mantiene tal como se entrego, sin quedar confirmado.</t>
  </si>
  <si>
    <t xml:space="preserve">UTEQ_BERKELEY_1.4.3.png</t>
  </si>
  <si>
    <t xml:space="preserve">body.home.wp-singular.page-template...; el panel de estilos muestra la lista de variables --wp--preset--color--*</t>
  </si>
  <si>
    <t xml:space="preserve">NO</t>
  </si>
  <si>
    <t xml:space="preserve">26/08/2026 22:35</t>
  </si>
  <si>
    <t xml:space="preserve">Sin ningun valor medido no hay nada que contradiga ni que confirme el codigo. Queda sin verificar.</t>
  </si>
  <si>
    <t xml:space="preserve">UTEQ_BERKELEY_2.4.4.png</t>
  </si>
  <si>
    <t xml:space="preserve">a.button.button--cta con href a news.berkeley.edu/2025/09/15/no-1-again-uc-berkeley-generates-more-startups-and-founders-than-any-other-university/ y texto 'Learn more', precedido del h2 'Creating more venture-backed startups than any other university in the world.'</t>
  </si>
  <si>
    <t xml:space="preserve">26/08/2026 22:40</t>
  </si>
  <si>
    <t xml:space="preserve">2.4.4 admite que el proposito se determine por el contexto programatico del enlace. Lo mostrado es compatible con el codigo 1.</t>
  </si>
  <si>
    <t xml:space="preserve">UTEQ_UCL_1.1.1.png</t>
  </si>
  <si>
    <t xml:space="preserve">a.link.link--overlay.link--large.link--accent con href a /students/support-and-wellbeing-services y texto 'How we support our students'</t>
  </si>
  <si>
    <t xml:space="preserve">25/08/2026 22:40</t>
  </si>
  <si>
    <t xml:space="preserve">La captura no respalda el f=22 declarado, pero tampoco lo refuta. No hay correccion derivable de su propia evidencia.</t>
  </si>
  <si>
    <t xml:space="preserve">UTEQ_UCL_1.4.3.png</t>
  </si>
  <si>
    <t xml:space="preserve">a.link.link--large.link--accent con href a /about/our-people; estilos con color: var(--c-s-text-brand-inverse)</t>
  </si>
  <si>
    <t xml:space="preserve">26/08/2026 23:01</t>
  </si>
  <si>
    <t xml:space="preserve">Sin valor medido no hay correccion derivable. Queda sin verificar.</t>
  </si>
  <si>
    <t xml:space="preserve">UTEQ_UCL_2.4.4.png</t>
  </si>
  <si>
    <t xml:space="preserve">div.spotlight__content.col-12.col-lg-6; estilos con la paleta --ucl-*</t>
  </si>
  <si>
    <t xml:space="preserve">26/08/2026 23:11</t>
  </si>
  <si>
    <t xml:space="preserve">Sin ningun enlace inspeccionado no hay correccion derivable. Queda sin verificar.</t>
  </si>
  <si>
    <t xml:space="preserve">UTEQ_UNESUM_1.1.1.png</t>
  </si>
  <si>
    <t xml:space="preserve">a.elementor-element...e-con.e-parent.e-lazyloaded con data-settings={"background_background":"classic"} y href a /la-unesum-fortalece-la-cooperacion-interinstitucional...; la imagen es fondo CSS, no un img</t>
  </si>
  <si>
    <t xml:space="preserve">PARCIAL</t>
  </si>
  <si>
    <t xml:space="preserve">25/08/2026 22:56</t>
  </si>
  <si>
    <t xml:space="preserve">El patron mostrado no basta para declarar un fallo: la tarjeta tiene texto visible que puede operar como alternativa. No hay correccion derivable.</t>
  </si>
  <si>
    <t xml:space="preserve">UTEQ_UNESUM_1.4.3.png</t>
  </si>
  <si>
    <t xml:space="preserve">el mismo tipo de nodo a.elementor-element...; estilos con background-image: url(.../2026/08/UnesumQue...)</t>
  </si>
  <si>
    <t xml:space="preserve">26/08/2026 23:22</t>
  </si>
  <si>
    <t xml:space="preserve">UTEQ_UNESUM_2.4.4.png</t>
  </si>
  <si>
    <t xml:space="preserve">h4.elementor-heading-title.elementor-size-default con el texto 'En linea'</t>
  </si>
  <si>
    <t xml:space="preserve">26/08/2026 23:26</t>
  </si>
  <si>
    <t xml:space="preserve">UTEQ_USECIPOL_1.1.1.png</t>
  </si>
  <si>
    <t xml:space="preserve">div.absolute.inset-0.rounded-2xl.ring-2.ring-transparent.transition-all.duration-500 con aria-hidden="true"</t>
  </si>
  <si>
    <t xml:space="preserve">25/08/2026 23:13</t>
  </si>
  <si>
    <t xml:space="preserve">Lo mostrado no es un fallo de 1.1.1 sino la practica recomendada, pero tampoco refuta el f=8 declarado sobre otros elementos. No hay correccion derivable.</t>
  </si>
  <si>
    <t xml:space="preserve">UTEQ_USECIPOL_1.4.3.png</t>
  </si>
  <si>
    <t xml:space="preserve">div.relative.mx-auto.w-full.max-w-7xl.px-6.lg:px-8; estilos con reglas de padding</t>
  </si>
  <si>
    <t xml:space="preserve">26/08/2026 23:32</t>
  </si>
  <si>
    <t xml:space="preserve">UTEQ_USECIPOL_2.4.4.png</t>
  </si>
  <si>
    <t xml:space="preserve">el mismo div.absolute.inset-0...aria-hidden="true" de la captura de 1.1.1</t>
  </si>
  <si>
    <t xml:space="preserve">26/08/2026 23:37</t>
  </si>
  <si>
    <t xml:space="preserve">UTEQ_IAEN_1.1.1.png</t>
  </si>
  <si>
    <t xml:space="preserve">img.attachment-full.size-full.wp-image-16990.lazy.entered.loaded con alt vacio y src Captura-de-pantalla-2026-06-05-a-las-1.57.36-p.-m.png</t>
  </si>
  <si>
    <t xml:space="preserve">25/08/2026 23:29</t>
  </si>
  <si>
    <t xml:space="preserve">CONFIRMA</t>
  </si>
  <si>
    <t xml:space="preserve">Al probar f mayor o igual que 1 su propia captura descarta el codigo 1. El codigo 0 que declaro es compatible con lo mostrado y con el recuento del sitio.</t>
  </si>
  <si>
    <t xml:space="preserve">UTEQ_IAEN_1.4.3.png</t>
  </si>
  <si>
    <t xml:space="preserve">div.elementor-background-slideshow__slide.swiper-slide con aria-label="1 / 2" y opacity: 0</t>
  </si>
  <si>
    <t xml:space="preserve">26/08/2026 23:49</t>
  </si>
  <si>
    <t xml:space="preserve">EXCLUIDO</t>
  </si>
  <si>
    <t xml:space="preserve">UTEQ_IAEN_2.4.4.png</t>
  </si>
  <si>
    <t xml:space="preserve">a.swiper-slide-inner con href a docs.google.com/forms/d/e/1FAIpQLSfZnF043tnNV18IruhLV22mDT5N3zfDVTEq82QeDILxBrfkQg/viewform cuyo unico texto es el div.elementor-button 'Clic aqui'</t>
  </si>
  <si>
    <t xml:space="preserve">26/08/2026 23:41</t>
  </si>
  <si>
    <t xml:space="preserve">CORRIGE</t>
  </si>
  <si>
    <t xml:space="preserve">El codigo 1 exige f=0, de modo que su propia captura lo descarta. Para separar P de 0 hace falta un recuento del criterio, que no entrego; con el unico recuento que declaro para el sitio (n=15, f=7, cociente 0,467) el codigo resultante es 0.</t>
  </si>
  <si>
    <t xml:space="preserve">evaluador_primera</t>
  </si>
  <si>
    <t xml:space="preserve">codigo_primera</t>
  </si>
  <si>
    <t xml:space="preserve">n_primera</t>
  </si>
  <si>
    <t xml:space="preserve">f_primera</t>
  </si>
  <si>
    <t xml:space="preserve">evaluador_segunda</t>
  </si>
  <si>
    <t xml:space="preserve">codigo_segunda</t>
  </si>
  <si>
    <t xml:space="preserve">acuerdo</t>
  </si>
  <si>
    <t xml:space="preserve">entra_en_kappa</t>
  </si>
  <si>
    <t xml:space="preserve">motivo_exclusion</t>
  </si>
  <si>
    <t xml:space="preserve">no</t>
  </si>
  <si>
    <t xml:space="preserve">La captura de la segunda evaluacion muestra un enlace cuyo unico texto es 'Clic aqui', lo que descarta el codigo 1 que declaro; el par se retira por evidencia contradictoria.</t>
  </si>
  <si>
    <t xml:space="preserve">Pares que entran en kappa</t>
  </si>
  <si>
    <t xml:space="preserve">Coincidencias</t>
  </si>
  <si>
    <t xml:space="preserve">po</t>
  </si>
  <si>
    <t xml:space="preserve">codigos 0 - primera</t>
  </si>
  <si>
    <t xml:space="preserve">codigos P - primera</t>
  </si>
  <si>
    <t xml:space="preserve">codigos 1 - primera</t>
  </si>
  <si>
    <t xml:space="preserve">codigos 0 - segunda</t>
  </si>
  <si>
    <t xml:space="preserve">codigos P - segunda</t>
  </si>
  <si>
    <t xml:space="preserve">codigos 1 - segunda</t>
  </si>
  <si>
    <t xml:space="preserve">pe</t>
  </si>
  <si>
    <t xml:space="preserve">kappa de Cohen</t>
  </si>
  <si>
    <t xml:space="preserve">umbral fijado para el manuscrito: 0,60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</si>
</sst>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15</v>
      </c>
    </row>
    <row r="22" customFormat="false" ht="15" hidden="false" customHeight="false" outlineLevel="0" collapsed="false">
      <c r="A22" s="2" t="s">
        <v>16</v>
      </c>
    </row>
    <row r="23" customFormat="false" ht="15" hidden="false" customHeight="false" outlineLevel="0" collapsed="false">
      <c r="A23" s="2" t="s">
        <v>17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2" t="s">
        <v>18</v>
      </c>
    </row>
    <row r="26" customFormat="false" ht="23.85" hidden="false" customHeight="false" outlineLevel="0" collapsed="false">
      <c r="A26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34"/>
    <col collapsed="false" customWidth="true" hidden="false" outlineLevel="0" max="5" min="5" style="0" width="9"/>
    <col collapsed="false" customWidth="true" hidden="false" outlineLevel="0" max="6" min="6" style="0" width="32"/>
    <col collapsed="false" customWidth="true" hidden="false" outlineLevel="0" max="7" min="7" style="0" width="8"/>
    <col collapsed="false" customWidth="true" hidden="false" outlineLevel="0" max="9" min="8" style="0" width="6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  <col collapsed="false" customWidth="true" hidden="false" outlineLevel="0" max="13" min="13" style="0" width="12"/>
    <col collapsed="false" customWidth="true" hidden="false" outlineLevel="0" max="15" min="14" style="0" width="10"/>
    <col collapsed="false" customWidth="true" hidden="false" outlineLevel="0" max="16" min="16" style="0" width="26"/>
    <col collapsed="false" customWidth="true" hidden="false" outlineLevel="0" max="17" min="17" style="0" width="9"/>
    <col collapsed="false" customWidth="true" hidden="false" outlineLevel="0" max="18" min="18" style="0" width="24"/>
    <col collapsed="false" customWidth="true" hidden="false" outlineLevel="0" max="19" min="19" style="0" width="95"/>
  </cols>
  <sheetData>
    <row r="1" customFormat="false" ht="42" hidden="false" customHeight="true" outlineLevel="0" collapsed="false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4" t="s">
        <v>38</v>
      </c>
    </row>
    <row r="2" customFormat="false" ht="23.85" hidden="false" customHeight="false" outlineLevel="0" collapsed="false">
      <c r="A2" s="5" t="n">
        <v>7</v>
      </c>
      <c r="B2" s="5" t="s">
        <v>39</v>
      </c>
      <c r="C2" s="6" t="s">
        <v>40</v>
      </c>
      <c r="D2" s="7" t="s">
        <v>41</v>
      </c>
      <c r="E2" s="5" t="s">
        <v>42</v>
      </c>
      <c r="F2" s="6" t="s">
        <v>43</v>
      </c>
      <c r="G2" s="5" t="s">
        <v>44</v>
      </c>
      <c r="H2" s="8" t="n">
        <v>10</v>
      </c>
      <c r="I2" s="8" t="n">
        <v>7</v>
      </c>
      <c r="J2" s="5" t="n">
        <v>0.7</v>
      </c>
      <c r="K2" s="6" t="s">
        <v>45</v>
      </c>
      <c r="L2" s="6" t="s">
        <v>46</v>
      </c>
      <c r="M2" s="5" t="s">
        <v>47</v>
      </c>
      <c r="N2" s="5" t="s">
        <v>48</v>
      </c>
      <c r="O2" s="5" t="s">
        <v>49</v>
      </c>
      <c r="P2" s="7" t="s">
        <v>50</v>
      </c>
      <c r="Q2" s="5" t="n">
        <v>15</v>
      </c>
      <c r="R2" s="9" t="s">
        <v>51</v>
      </c>
      <c r="S2" s="7" t="s">
        <v>52</v>
      </c>
    </row>
    <row r="3" customFormat="false" ht="23.85" hidden="false" customHeight="false" outlineLevel="0" collapsed="false">
      <c r="A3" s="5" t="n">
        <v>7</v>
      </c>
      <c r="B3" s="5" t="s">
        <v>39</v>
      </c>
      <c r="C3" s="6" t="s">
        <v>40</v>
      </c>
      <c r="D3" s="7" t="s">
        <v>41</v>
      </c>
      <c r="E3" s="5" t="s">
        <v>53</v>
      </c>
      <c r="F3" s="6" t="s">
        <v>54</v>
      </c>
      <c r="G3" s="5" t="s">
        <v>55</v>
      </c>
      <c r="H3" s="8" t="n">
        <v>7</v>
      </c>
      <c r="I3" s="8" t="n">
        <v>0</v>
      </c>
      <c r="J3" s="5" t="n">
        <v>0</v>
      </c>
      <c r="K3" s="6" t="s">
        <v>45</v>
      </c>
      <c r="L3" s="6" t="s">
        <v>46</v>
      </c>
      <c r="M3" s="5" t="s">
        <v>47</v>
      </c>
      <c r="N3" s="5" t="s">
        <v>48</v>
      </c>
      <c r="O3" s="5" t="s">
        <v>49</v>
      </c>
      <c r="P3" s="7" t="s">
        <v>50</v>
      </c>
      <c r="Q3" s="5" t="n">
        <v>15</v>
      </c>
      <c r="R3" s="9" t="s">
        <v>51</v>
      </c>
      <c r="S3" s="7" t="s">
        <v>52</v>
      </c>
    </row>
    <row r="4" customFormat="false" ht="23.85" hidden="false" customHeight="false" outlineLevel="0" collapsed="false">
      <c r="A4" s="5" t="n">
        <v>7</v>
      </c>
      <c r="B4" s="5" t="s">
        <v>39</v>
      </c>
      <c r="C4" s="6" t="s">
        <v>40</v>
      </c>
      <c r="D4" s="7" t="s">
        <v>41</v>
      </c>
      <c r="E4" s="5" t="s">
        <v>56</v>
      </c>
      <c r="F4" s="6" t="s">
        <v>57</v>
      </c>
      <c r="G4" s="5" t="s">
        <v>55</v>
      </c>
      <c r="H4" s="8" t="n">
        <v>9</v>
      </c>
      <c r="I4" s="8" t="n">
        <v>0</v>
      </c>
      <c r="J4" s="5" t="n">
        <v>0</v>
      </c>
      <c r="K4" s="6" t="s">
        <v>45</v>
      </c>
      <c r="L4" s="6" t="s">
        <v>46</v>
      </c>
      <c r="M4" s="5" t="s">
        <v>47</v>
      </c>
      <c r="N4" s="5" t="s">
        <v>48</v>
      </c>
      <c r="O4" s="5" t="s">
        <v>49</v>
      </c>
      <c r="P4" s="7" t="s">
        <v>50</v>
      </c>
      <c r="Q4" s="5" t="n">
        <v>15</v>
      </c>
      <c r="R4" s="9" t="s">
        <v>51</v>
      </c>
      <c r="S4" s="7" t="s">
        <v>52</v>
      </c>
    </row>
    <row r="5" customFormat="false" ht="15" hidden="false" customHeight="false" outlineLevel="0" collapsed="false">
      <c r="A5" s="5" t="n">
        <v>14</v>
      </c>
      <c r="B5" s="5" t="s">
        <v>39</v>
      </c>
      <c r="C5" s="6" t="s">
        <v>58</v>
      </c>
      <c r="D5" s="7" t="s">
        <v>59</v>
      </c>
      <c r="E5" s="5" t="s">
        <v>42</v>
      </c>
      <c r="F5" s="6" t="s">
        <v>43</v>
      </c>
      <c r="G5" s="5" t="s">
        <v>55</v>
      </c>
      <c r="H5" s="8" t="n">
        <v>5</v>
      </c>
      <c r="I5" s="8" t="n">
        <v>0</v>
      </c>
      <c r="J5" s="5" t="n">
        <v>0</v>
      </c>
      <c r="K5" s="6" t="s">
        <v>45</v>
      </c>
      <c r="L5" s="6" t="s">
        <v>46</v>
      </c>
      <c r="M5" s="5" t="s">
        <v>47</v>
      </c>
      <c r="N5" s="5" t="s">
        <v>60</v>
      </c>
      <c r="O5" s="5" t="s">
        <v>61</v>
      </c>
      <c r="P5" s="7" t="s">
        <v>50</v>
      </c>
      <c r="Q5" s="5" t="n">
        <v>15</v>
      </c>
      <c r="R5" s="9" t="s">
        <v>51</v>
      </c>
      <c r="S5" s="7" t="s">
        <v>62</v>
      </c>
    </row>
    <row r="6" customFormat="false" ht="15" hidden="false" customHeight="false" outlineLevel="0" collapsed="false">
      <c r="A6" s="5" t="n">
        <v>14</v>
      </c>
      <c r="B6" s="5" t="s">
        <v>39</v>
      </c>
      <c r="C6" s="6" t="s">
        <v>58</v>
      </c>
      <c r="D6" s="7" t="s">
        <v>59</v>
      </c>
      <c r="E6" s="5" t="s">
        <v>53</v>
      </c>
      <c r="F6" s="6" t="s">
        <v>54</v>
      </c>
      <c r="G6" s="5" t="s">
        <v>55</v>
      </c>
      <c r="H6" s="8" t="n">
        <v>4</v>
      </c>
      <c r="I6" s="8" t="n">
        <v>0</v>
      </c>
      <c r="J6" s="5" t="n">
        <v>0</v>
      </c>
      <c r="K6" s="6" t="s">
        <v>45</v>
      </c>
      <c r="L6" s="6" t="s">
        <v>46</v>
      </c>
      <c r="M6" s="5" t="s">
        <v>47</v>
      </c>
      <c r="N6" s="5" t="s">
        <v>60</v>
      </c>
      <c r="O6" s="5" t="s">
        <v>61</v>
      </c>
      <c r="P6" s="7" t="s">
        <v>50</v>
      </c>
      <c r="Q6" s="5" t="n">
        <v>15</v>
      </c>
      <c r="R6" s="9" t="s">
        <v>51</v>
      </c>
      <c r="S6" s="7" t="s">
        <v>62</v>
      </c>
    </row>
    <row r="7" customFormat="false" ht="15" hidden="false" customHeight="false" outlineLevel="0" collapsed="false">
      <c r="A7" s="5" t="n">
        <v>14</v>
      </c>
      <c r="B7" s="5" t="s">
        <v>39</v>
      </c>
      <c r="C7" s="6" t="s">
        <v>58</v>
      </c>
      <c r="D7" s="7" t="s">
        <v>59</v>
      </c>
      <c r="E7" s="5" t="s">
        <v>56</v>
      </c>
      <c r="F7" s="6" t="s">
        <v>57</v>
      </c>
      <c r="G7" s="5" t="s">
        <v>63</v>
      </c>
      <c r="H7" s="8" t="n">
        <v>16</v>
      </c>
      <c r="I7" s="8" t="n">
        <v>2</v>
      </c>
      <c r="J7" s="5" t="n">
        <v>0.125</v>
      </c>
      <c r="K7" s="6" t="s">
        <v>45</v>
      </c>
      <c r="L7" s="6" t="s">
        <v>46</v>
      </c>
      <c r="M7" s="5" t="s">
        <v>47</v>
      </c>
      <c r="N7" s="5" t="s">
        <v>60</v>
      </c>
      <c r="O7" s="5" t="s">
        <v>61</v>
      </c>
      <c r="P7" s="7" t="s">
        <v>50</v>
      </c>
      <c r="Q7" s="5" t="n">
        <v>15</v>
      </c>
      <c r="R7" s="9" t="s">
        <v>51</v>
      </c>
      <c r="S7" s="7" t="s">
        <v>62</v>
      </c>
    </row>
    <row r="8" customFormat="false" ht="23.85" hidden="false" customHeight="false" outlineLevel="0" collapsed="false">
      <c r="A8" s="5" t="n">
        <v>15</v>
      </c>
      <c r="B8" s="5" t="s">
        <v>39</v>
      </c>
      <c r="C8" s="6" t="s">
        <v>64</v>
      </c>
      <c r="D8" s="7" t="s">
        <v>65</v>
      </c>
      <c r="E8" s="5" t="s">
        <v>42</v>
      </c>
      <c r="F8" s="6" t="s">
        <v>43</v>
      </c>
      <c r="G8" s="5" t="s">
        <v>63</v>
      </c>
      <c r="H8" s="8" t="n">
        <v>10</v>
      </c>
      <c r="I8" s="8" t="n">
        <v>2</v>
      </c>
      <c r="J8" s="5" t="n">
        <v>0.2</v>
      </c>
      <c r="K8" s="6" t="s">
        <v>45</v>
      </c>
      <c r="L8" s="6" t="s">
        <v>46</v>
      </c>
      <c r="M8" s="5" t="s">
        <v>47</v>
      </c>
      <c r="N8" s="5" t="s">
        <v>66</v>
      </c>
      <c r="O8" s="5" t="s">
        <v>67</v>
      </c>
      <c r="P8" s="7" t="s">
        <v>50</v>
      </c>
      <c r="Q8" s="5" t="n">
        <v>15</v>
      </c>
      <c r="R8" s="9" t="s">
        <v>51</v>
      </c>
      <c r="S8" s="7" t="s">
        <v>68</v>
      </c>
    </row>
    <row r="9" customFormat="false" ht="23.85" hidden="false" customHeight="false" outlineLevel="0" collapsed="false">
      <c r="A9" s="5" t="n">
        <v>15</v>
      </c>
      <c r="B9" s="5" t="s">
        <v>39</v>
      </c>
      <c r="C9" s="6" t="s">
        <v>64</v>
      </c>
      <c r="D9" s="7" t="s">
        <v>65</v>
      </c>
      <c r="E9" s="5" t="s">
        <v>53</v>
      </c>
      <c r="F9" s="6" t="s">
        <v>54</v>
      </c>
      <c r="G9" s="5" t="s">
        <v>55</v>
      </c>
      <c r="H9" s="8" t="n">
        <v>5</v>
      </c>
      <c r="I9" s="8" t="n">
        <v>0</v>
      </c>
      <c r="J9" s="5" t="n">
        <v>0</v>
      </c>
      <c r="K9" s="6" t="s">
        <v>45</v>
      </c>
      <c r="L9" s="6" t="s">
        <v>46</v>
      </c>
      <c r="M9" s="5" t="s">
        <v>47</v>
      </c>
      <c r="N9" s="5" t="s">
        <v>66</v>
      </c>
      <c r="O9" s="5" t="s">
        <v>67</v>
      </c>
      <c r="P9" s="7" t="s">
        <v>50</v>
      </c>
      <c r="Q9" s="5" t="n">
        <v>15</v>
      </c>
      <c r="R9" s="9" t="s">
        <v>51</v>
      </c>
      <c r="S9" s="7" t="s">
        <v>68</v>
      </c>
    </row>
    <row r="10" customFormat="false" ht="23.85" hidden="false" customHeight="false" outlineLevel="0" collapsed="false">
      <c r="A10" s="5" t="n">
        <v>15</v>
      </c>
      <c r="B10" s="5" t="s">
        <v>39</v>
      </c>
      <c r="C10" s="6" t="s">
        <v>64</v>
      </c>
      <c r="D10" s="7" t="s">
        <v>65</v>
      </c>
      <c r="E10" s="5" t="s">
        <v>56</v>
      </c>
      <c r="F10" s="6" t="s">
        <v>57</v>
      </c>
      <c r="G10" s="5" t="s">
        <v>63</v>
      </c>
      <c r="H10" s="8" t="n">
        <v>10</v>
      </c>
      <c r="I10" s="8" t="n">
        <v>2</v>
      </c>
      <c r="J10" s="5" t="n">
        <v>0.2</v>
      </c>
      <c r="K10" s="6" t="s">
        <v>45</v>
      </c>
      <c r="L10" s="6" t="s">
        <v>46</v>
      </c>
      <c r="M10" s="5" t="s">
        <v>47</v>
      </c>
      <c r="N10" s="5" t="s">
        <v>66</v>
      </c>
      <c r="O10" s="5" t="s">
        <v>67</v>
      </c>
      <c r="P10" s="7" t="s">
        <v>50</v>
      </c>
      <c r="Q10" s="5" t="n">
        <v>15</v>
      </c>
      <c r="R10" s="9" t="s">
        <v>51</v>
      </c>
      <c r="S10" s="7" t="s">
        <v>68</v>
      </c>
    </row>
    <row r="11" customFormat="false" ht="23.85" hidden="false" customHeight="false" outlineLevel="0" collapsed="false">
      <c r="A11" s="5" t="n">
        <v>22</v>
      </c>
      <c r="B11" s="5" t="s">
        <v>39</v>
      </c>
      <c r="C11" s="6" t="s">
        <v>69</v>
      </c>
      <c r="D11" s="7" t="s">
        <v>70</v>
      </c>
      <c r="E11" s="5" t="s">
        <v>42</v>
      </c>
      <c r="F11" s="6" t="s">
        <v>43</v>
      </c>
      <c r="G11" s="5" t="s">
        <v>63</v>
      </c>
      <c r="H11" s="8" t="n">
        <v>11</v>
      </c>
      <c r="I11" s="8" t="n">
        <v>1</v>
      </c>
      <c r="J11" s="5" t="n">
        <v>0.0909</v>
      </c>
      <c r="K11" s="6" t="s">
        <v>45</v>
      </c>
      <c r="L11" s="6" t="s">
        <v>46</v>
      </c>
      <c r="M11" s="5" t="s">
        <v>47</v>
      </c>
      <c r="N11" s="5" t="s">
        <v>71</v>
      </c>
      <c r="O11" s="5" t="s">
        <v>72</v>
      </c>
      <c r="P11" s="7" t="s">
        <v>50</v>
      </c>
      <c r="Q11" s="5" t="n">
        <v>15</v>
      </c>
      <c r="R11" s="9" t="s">
        <v>73</v>
      </c>
      <c r="S11" s="7" t="s">
        <v>74</v>
      </c>
    </row>
    <row r="12" customFormat="false" ht="23.85" hidden="false" customHeight="false" outlineLevel="0" collapsed="false">
      <c r="A12" s="5" t="n">
        <v>22</v>
      </c>
      <c r="B12" s="5" t="s">
        <v>39</v>
      </c>
      <c r="C12" s="6" t="s">
        <v>69</v>
      </c>
      <c r="D12" s="7" t="s">
        <v>70</v>
      </c>
      <c r="E12" s="5" t="s">
        <v>53</v>
      </c>
      <c r="F12" s="6" t="s">
        <v>54</v>
      </c>
      <c r="G12" s="5" t="s">
        <v>44</v>
      </c>
      <c r="H12" s="8" t="n">
        <v>3</v>
      </c>
      <c r="I12" s="8" t="n">
        <v>1</v>
      </c>
      <c r="J12" s="5" t="n">
        <v>0.3333</v>
      </c>
      <c r="K12" s="6" t="s">
        <v>45</v>
      </c>
      <c r="L12" s="6" t="s">
        <v>46</v>
      </c>
      <c r="M12" s="5" t="s">
        <v>47</v>
      </c>
      <c r="N12" s="5" t="s">
        <v>71</v>
      </c>
      <c r="O12" s="5" t="s">
        <v>72</v>
      </c>
      <c r="P12" s="7" t="s">
        <v>50</v>
      </c>
      <c r="Q12" s="5" t="n">
        <v>15</v>
      </c>
      <c r="R12" s="9" t="s">
        <v>73</v>
      </c>
      <c r="S12" s="7" t="s">
        <v>74</v>
      </c>
    </row>
    <row r="13" customFormat="false" ht="23.85" hidden="false" customHeight="false" outlineLevel="0" collapsed="false">
      <c r="A13" s="5" t="n">
        <v>22</v>
      </c>
      <c r="B13" s="5" t="s">
        <v>39</v>
      </c>
      <c r="C13" s="6" t="s">
        <v>69</v>
      </c>
      <c r="D13" s="7" t="s">
        <v>70</v>
      </c>
      <c r="E13" s="5" t="s">
        <v>56</v>
      </c>
      <c r="F13" s="6" t="s">
        <v>57</v>
      </c>
      <c r="G13" s="5" t="s">
        <v>44</v>
      </c>
      <c r="H13" s="8" t="n">
        <v>11</v>
      </c>
      <c r="I13" s="8" t="n">
        <v>3</v>
      </c>
      <c r="J13" s="5" t="n">
        <v>0.2727</v>
      </c>
      <c r="K13" s="6" t="s">
        <v>45</v>
      </c>
      <c r="L13" s="6" t="s">
        <v>46</v>
      </c>
      <c r="M13" s="5" t="s">
        <v>47</v>
      </c>
      <c r="N13" s="5" t="s">
        <v>71</v>
      </c>
      <c r="O13" s="5" t="s">
        <v>72</v>
      </c>
      <c r="P13" s="7" t="s">
        <v>50</v>
      </c>
      <c r="Q13" s="5" t="n">
        <v>15</v>
      </c>
      <c r="R13" s="9" t="s">
        <v>73</v>
      </c>
      <c r="S13" s="7" t="s">
        <v>74</v>
      </c>
    </row>
    <row r="14" customFormat="false" ht="23.85" hidden="false" customHeight="false" outlineLevel="0" collapsed="false">
      <c r="A14" s="5" t="n">
        <v>29</v>
      </c>
      <c r="B14" s="5" t="s">
        <v>39</v>
      </c>
      <c r="C14" s="6" t="s">
        <v>75</v>
      </c>
      <c r="D14" s="7" t="s">
        <v>76</v>
      </c>
      <c r="E14" s="5" t="s">
        <v>42</v>
      </c>
      <c r="F14" s="6" t="s">
        <v>43</v>
      </c>
      <c r="G14" s="5" t="s">
        <v>55</v>
      </c>
      <c r="H14" s="8" t="n">
        <v>11</v>
      </c>
      <c r="I14" s="8" t="n">
        <v>0</v>
      </c>
      <c r="J14" s="5" t="n">
        <v>0</v>
      </c>
      <c r="K14" s="6" t="s">
        <v>45</v>
      </c>
      <c r="L14" s="6" t="s">
        <v>46</v>
      </c>
      <c r="M14" s="5" t="s">
        <v>47</v>
      </c>
      <c r="N14" s="5" t="s">
        <v>77</v>
      </c>
      <c r="O14" s="5" t="s">
        <v>78</v>
      </c>
      <c r="P14" s="7" t="s">
        <v>50</v>
      </c>
      <c r="Q14" s="5" t="n">
        <v>15</v>
      </c>
      <c r="R14" s="9" t="s">
        <v>51</v>
      </c>
      <c r="S14" s="7" t="s">
        <v>79</v>
      </c>
    </row>
    <row r="15" customFormat="false" ht="23.85" hidden="false" customHeight="false" outlineLevel="0" collapsed="false">
      <c r="A15" s="5" t="n">
        <v>29</v>
      </c>
      <c r="B15" s="5" t="s">
        <v>39</v>
      </c>
      <c r="C15" s="6" t="s">
        <v>75</v>
      </c>
      <c r="D15" s="7" t="s">
        <v>76</v>
      </c>
      <c r="E15" s="5" t="s">
        <v>53</v>
      </c>
      <c r="F15" s="6" t="s">
        <v>54</v>
      </c>
      <c r="G15" s="5" t="s">
        <v>55</v>
      </c>
      <c r="H15" s="8" t="n">
        <v>5</v>
      </c>
      <c r="I15" s="8" t="n">
        <v>0</v>
      </c>
      <c r="J15" s="5" t="n">
        <v>0</v>
      </c>
      <c r="K15" s="6" t="s">
        <v>45</v>
      </c>
      <c r="L15" s="6" t="s">
        <v>46</v>
      </c>
      <c r="M15" s="5" t="s">
        <v>47</v>
      </c>
      <c r="N15" s="5" t="s">
        <v>77</v>
      </c>
      <c r="O15" s="5" t="s">
        <v>78</v>
      </c>
      <c r="P15" s="7" t="s">
        <v>50</v>
      </c>
      <c r="Q15" s="5" t="n">
        <v>15</v>
      </c>
      <c r="R15" s="9" t="s">
        <v>51</v>
      </c>
      <c r="S15" s="7" t="s">
        <v>79</v>
      </c>
    </row>
    <row r="16" customFormat="false" ht="23.85" hidden="false" customHeight="false" outlineLevel="0" collapsed="false">
      <c r="A16" s="5" t="n">
        <v>29</v>
      </c>
      <c r="B16" s="5" t="s">
        <v>39</v>
      </c>
      <c r="C16" s="6" t="s">
        <v>75</v>
      </c>
      <c r="D16" s="7" t="s">
        <v>76</v>
      </c>
      <c r="E16" s="5" t="s">
        <v>56</v>
      </c>
      <c r="F16" s="6" t="s">
        <v>57</v>
      </c>
      <c r="G16" s="5" t="s">
        <v>55</v>
      </c>
      <c r="H16" s="8" t="n">
        <v>9</v>
      </c>
      <c r="I16" s="8" t="n">
        <v>0</v>
      </c>
      <c r="J16" s="5" t="n">
        <v>0</v>
      </c>
      <c r="K16" s="6" t="s">
        <v>45</v>
      </c>
      <c r="L16" s="6" t="s">
        <v>46</v>
      </c>
      <c r="M16" s="5" t="s">
        <v>47</v>
      </c>
      <c r="N16" s="5" t="s">
        <v>77</v>
      </c>
      <c r="O16" s="5" t="s">
        <v>78</v>
      </c>
      <c r="P16" s="7" t="s">
        <v>50</v>
      </c>
      <c r="Q16" s="5" t="n">
        <v>15</v>
      </c>
      <c r="R16" s="9" t="s">
        <v>51</v>
      </c>
      <c r="S16" s="7" t="s">
        <v>79</v>
      </c>
    </row>
    <row r="17" customFormat="false" ht="23.85" hidden="false" customHeight="false" outlineLevel="0" collapsed="false">
      <c r="A17" s="5" t="n">
        <v>40</v>
      </c>
      <c r="B17" s="5" t="s">
        <v>39</v>
      </c>
      <c r="C17" s="6" t="s">
        <v>80</v>
      </c>
      <c r="D17" s="7" t="s">
        <v>81</v>
      </c>
      <c r="E17" s="5" t="s">
        <v>42</v>
      </c>
      <c r="F17" s="6" t="s">
        <v>43</v>
      </c>
      <c r="G17" s="5" t="s">
        <v>55</v>
      </c>
      <c r="H17" s="8" t="n">
        <v>20</v>
      </c>
      <c r="I17" s="8" t="n">
        <v>0</v>
      </c>
      <c r="J17" s="5" t="n">
        <v>0</v>
      </c>
      <c r="K17" s="6" t="s">
        <v>82</v>
      </c>
      <c r="L17" s="6" t="s">
        <v>83</v>
      </c>
      <c r="M17" s="5" t="s">
        <v>84</v>
      </c>
      <c r="N17" s="5" t="s">
        <v>85</v>
      </c>
      <c r="O17" s="5" t="s">
        <v>86</v>
      </c>
      <c r="P17" s="7" t="s">
        <v>87</v>
      </c>
      <c r="Q17" s="5" t="n">
        <v>11</v>
      </c>
      <c r="R17" s="9" t="s">
        <v>51</v>
      </c>
      <c r="S17" s="7" t="s">
        <v>88</v>
      </c>
    </row>
    <row r="18" customFormat="false" ht="23.85" hidden="false" customHeight="false" outlineLevel="0" collapsed="false">
      <c r="A18" s="5" t="n">
        <v>40</v>
      </c>
      <c r="B18" s="5" t="s">
        <v>39</v>
      </c>
      <c r="C18" s="6" t="s">
        <v>80</v>
      </c>
      <c r="D18" s="7" t="s">
        <v>81</v>
      </c>
      <c r="E18" s="5" t="s">
        <v>53</v>
      </c>
      <c r="F18" s="6" t="s">
        <v>54</v>
      </c>
      <c r="G18" s="5" t="s">
        <v>63</v>
      </c>
      <c r="H18" s="8" t="n">
        <v>25</v>
      </c>
      <c r="I18" s="8" t="n">
        <v>2</v>
      </c>
      <c r="J18" s="5" t="n">
        <v>0.08</v>
      </c>
      <c r="K18" s="6" t="s">
        <v>82</v>
      </c>
      <c r="L18" s="6" t="s">
        <v>83</v>
      </c>
      <c r="M18" s="5" t="s">
        <v>84</v>
      </c>
      <c r="N18" s="5" t="s">
        <v>85</v>
      </c>
      <c r="O18" s="5" t="s">
        <v>86</v>
      </c>
      <c r="P18" s="7" t="s">
        <v>87</v>
      </c>
      <c r="Q18" s="5" t="n">
        <v>11</v>
      </c>
      <c r="R18" s="9" t="s">
        <v>51</v>
      </c>
      <c r="S18" s="7" t="s">
        <v>88</v>
      </c>
    </row>
    <row r="19" customFormat="false" ht="23.85" hidden="false" customHeight="false" outlineLevel="0" collapsed="false">
      <c r="A19" s="5" t="n">
        <v>40</v>
      </c>
      <c r="B19" s="5" t="s">
        <v>39</v>
      </c>
      <c r="C19" s="6" t="s">
        <v>80</v>
      </c>
      <c r="D19" s="7" t="s">
        <v>81</v>
      </c>
      <c r="E19" s="5" t="s">
        <v>56</v>
      </c>
      <c r="F19" s="6" t="s">
        <v>57</v>
      </c>
      <c r="G19" s="5" t="s">
        <v>55</v>
      </c>
      <c r="H19" s="8" t="n">
        <v>25</v>
      </c>
      <c r="I19" s="8" t="n">
        <v>0</v>
      </c>
      <c r="J19" s="5" t="n">
        <v>0</v>
      </c>
      <c r="K19" s="6" t="s">
        <v>82</v>
      </c>
      <c r="L19" s="6" t="s">
        <v>83</v>
      </c>
      <c r="M19" s="5" t="s">
        <v>84</v>
      </c>
      <c r="N19" s="5" t="s">
        <v>85</v>
      </c>
      <c r="O19" s="5" t="s">
        <v>86</v>
      </c>
      <c r="P19" s="7" t="s">
        <v>87</v>
      </c>
      <c r="Q19" s="5" t="n">
        <v>11</v>
      </c>
      <c r="R19" s="9" t="s">
        <v>51</v>
      </c>
      <c r="S19" s="7" t="s">
        <v>88</v>
      </c>
    </row>
    <row r="20" customFormat="false" ht="35.05" hidden="false" customHeight="false" outlineLevel="0" collapsed="false">
      <c r="A20" s="5" t="n">
        <v>58</v>
      </c>
      <c r="B20" s="5" t="s">
        <v>39</v>
      </c>
      <c r="C20" s="6" t="s">
        <v>89</v>
      </c>
      <c r="D20" s="7" t="s">
        <v>90</v>
      </c>
      <c r="E20" s="5" t="s">
        <v>42</v>
      </c>
      <c r="F20" s="6" t="s">
        <v>43</v>
      </c>
      <c r="G20" s="5" t="s">
        <v>63</v>
      </c>
      <c r="H20" s="8" t="n">
        <v>25</v>
      </c>
      <c r="I20" s="8" t="n">
        <v>4</v>
      </c>
      <c r="J20" s="5" t="n">
        <v>0.16</v>
      </c>
      <c r="K20" s="6" t="s">
        <v>91</v>
      </c>
      <c r="L20" s="6" t="s">
        <v>92</v>
      </c>
      <c r="M20" s="5" t="s">
        <v>47</v>
      </c>
      <c r="N20" s="5" t="s">
        <v>93</v>
      </c>
      <c r="O20" s="5" t="s">
        <v>94</v>
      </c>
      <c r="P20" s="7" t="s">
        <v>95</v>
      </c>
      <c r="Q20" s="5" t="n">
        <v>8</v>
      </c>
      <c r="R20" s="9" t="s">
        <v>96</v>
      </c>
      <c r="S20" s="7" t="s">
        <v>97</v>
      </c>
    </row>
    <row r="21" customFormat="false" ht="35.05" hidden="false" customHeight="false" outlineLevel="0" collapsed="false">
      <c r="A21" s="5" t="n">
        <v>58</v>
      </c>
      <c r="B21" s="5" t="s">
        <v>39</v>
      </c>
      <c r="C21" s="6" t="s">
        <v>89</v>
      </c>
      <c r="D21" s="7" t="s">
        <v>90</v>
      </c>
      <c r="E21" s="5" t="s">
        <v>53</v>
      </c>
      <c r="F21" s="6" t="s">
        <v>54</v>
      </c>
      <c r="G21" s="5" t="s">
        <v>44</v>
      </c>
      <c r="H21" s="8" t="n">
        <v>25</v>
      </c>
      <c r="I21" s="8" t="n">
        <v>4</v>
      </c>
      <c r="J21" s="5" t="n">
        <v>0.16</v>
      </c>
      <c r="K21" s="6" t="s">
        <v>91</v>
      </c>
      <c r="L21" s="6" t="s">
        <v>92</v>
      </c>
      <c r="M21" s="5" t="s">
        <v>47</v>
      </c>
      <c r="N21" s="5" t="s">
        <v>93</v>
      </c>
      <c r="O21" s="5" t="s">
        <v>94</v>
      </c>
      <c r="P21" s="7" t="s">
        <v>95</v>
      </c>
      <c r="Q21" s="5" t="n">
        <v>8</v>
      </c>
      <c r="R21" s="9" t="s">
        <v>96</v>
      </c>
      <c r="S21" s="7" t="s">
        <v>97</v>
      </c>
    </row>
    <row r="22" customFormat="false" ht="35.05" hidden="false" customHeight="false" outlineLevel="0" collapsed="false">
      <c r="A22" s="5" t="n">
        <v>58</v>
      </c>
      <c r="B22" s="5" t="s">
        <v>39</v>
      </c>
      <c r="C22" s="6" t="s">
        <v>89</v>
      </c>
      <c r="D22" s="7" t="s">
        <v>90</v>
      </c>
      <c r="E22" s="5" t="s">
        <v>56</v>
      </c>
      <c r="F22" s="6" t="s">
        <v>57</v>
      </c>
      <c r="G22" s="5" t="s">
        <v>63</v>
      </c>
      <c r="H22" s="8" t="n">
        <v>25</v>
      </c>
      <c r="I22" s="8" t="n">
        <v>4</v>
      </c>
      <c r="J22" s="5" t="n">
        <v>0.16</v>
      </c>
      <c r="K22" s="6" t="s">
        <v>91</v>
      </c>
      <c r="L22" s="6" t="s">
        <v>92</v>
      </c>
      <c r="M22" s="5" t="s">
        <v>47</v>
      </c>
      <c r="N22" s="5" t="s">
        <v>93</v>
      </c>
      <c r="O22" s="5" t="s">
        <v>94</v>
      </c>
      <c r="P22" s="7" t="s">
        <v>95</v>
      </c>
      <c r="Q22" s="5" t="n">
        <v>8</v>
      </c>
      <c r="R22" s="9" t="s">
        <v>96</v>
      </c>
      <c r="S22" s="7" t="s">
        <v>97</v>
      </c>
    </row>
    <row r="23" customFormat="false" ht="35.05" hidden="false" customHeight="false" outlineLevel="0" collapsed="false">
      <c r="A23" s="5" t="n">
        <v>83</v>
      </c>
      <c r="B23" s="5" t="s">
        <v>98</v>
      </c>
      <c r="C23" s="6" t="s">
        <v>99</v>
      </c>
      <c r="D23" s="7" t="s">
        <v>100</v>
      </c>
      <c r="E23" s="5" t="s">
        <v>42</v>
      </c>
      <c r="F23" s="6" t="s">
        <v>43</v>
      </c>
      <c r="G23" s="5" t="s">
        <v>44</v>
      </c>
      <c r="H23" s="8" t="n">
        <v>27</v>
      </c>
      <c r="I23" s="8" t="n">
        <v>6</v>
      </c>
      <c r="J23" s="5" t="n">
        <v>0.2222</v>
      </c>
      <c r="K23" s="6" t="s">
        <v>101</v>
      </c>
      <c r="L23" s="6" t="s">
        <v>102</v>
      </c>
      <c r="M23" s="5" t="s">
        <v>84</v>
      </c>
      <c r="N23" s="5" t="s">
        <v>103</v>
      </c>
      <c r="O23" s="5" t="s">
        <v>104</v>
      </c>
      <c r="P23" s="7" t="s">
        <v>105</v>
      </c>
      <c r="Q23" s="5" t="n">
        <v>11</v>
      </c>
      <c r="R23" s="9" t="s">
        <v>73</v>
      </c>
      <c r="S23" s="7" t="s">
        <v>106</v>
      </c>
    </row>
    <row r="24" customFormat="false" ht="35.05" hidden="false" customHeight="false" outlineLevel="0" collapsed="false">
      <c r="A24" s="5" t="n">
        <v>83</v>
      </c>
      <c r="B24" s="5" t="s">
        <v>98</v>
      </c>
      <c r="C24" s="6" t="s">
        <v>99</v>
      </c>
      <c r="D24" s="7" t="s">
        <v>100</v>
      </c>
      <c r="E24" s="5" t="s">
        <v>53</v>
      </c>
      <c r="F24" s="6" t="s">
        <v>54</v>
      </c>
      <c r="G24" s="5" t="s">
        <v>63</v>
      </c>
      <c r="H24" s="8" t="n">
        <v>18</v>
      </c>
      <c r="I24" s="8" t="n">
        <v>1</v>
      </c>
      <c r="J24" s="5" t="n">
        <v>0.0556</v>
      </c>
      <c r="K24" s="6" t="s">
        <v>101</v>
      </c>
      <c r="L24" s="6" t="s">
        <v>102</v>
      </c>
      <c r="M24" s="5" t="s">
        <v>84</v>
      </c>
      <c r="N24" s="5" t="s">
        <v>103</v>
      </c>
      <c r="O24" s="5" t="s">
        <v>104</v>
      </c>
      <c r="P24" s="7" t="s">
        <v>105</v>
      </c>
      <c r="Q24" s="5" t="n">
        <v>11</v>
      </c>
      <c r="R24" s="9" t="s">
        <v>73</v>
      </c>
      <c r="S24" s="7" t="s">
        <v>106</v>
      </c>
    </row>
    <row r="25" customFormat="false" ht="35.05" hidden="false" customHeight="false" outlineLevel="0" collapsed="false">
      <c r="A25" s="5" t="n">
        <v>83</v>
      </c>
      <c r="B25" s="5" t="s">
        <v>98</v>
      </c>
      <c r="C25" s="6" t="s">
        <v>99</v>
      </c>
      <c r="D25" s="7" t="s">
        <v>100</v>
      </c>
      <c r="E25" s="5" t="s">
        <v>56</v>
      </c>
      <c r="F25" s="6" t="s">
        <v>57</v>
      </c>
      <c r="G25" s="5" t="s">
        <v>44</v>
      </c>
      <c r="H25" s="8" t="n">
        <v>25</v>
      </c>
      <c r="I25" s="8" t="n">
        <v>8</v>
      </c>
      <c r="J25" s="5" t="n">
        <v>0.32</v>
      </c>
      <c r="K25" s="6" t="s">
        <v>101</v>
      </c>
      <c r="L25" s="6" t="s">
        <v>102</v>
      </c>
      <c r="M25" s="5" t="s">
        <v>84</v>
      </c>
      <c r="N25" s="5" t="s">
        <v>103</v>
      </c>
      <c r="O25" s="5" t="s">
        <v>104</v>
      </c>
      <c r="P25" s="7" t="s">
        <v>105</v>
      </c>
      <c r="Q25" s="5" t="n">
        <v>11</v>
      </c>
      <c r="R25" s="9" t="s">
        <v>73</v>
      </c>
      <c r="S25" s="7" t="s">
        <v>106</v>
      </c>
    </row>
    <row r="26" customFormat="false" ht="23.85" hidden="false" customHeight="false" outlineLevel="0" collapsed="false">
      <c r="A26" s="5" t="n">
        <v>95</v>
      </c>
      <c r="B26" s="5" t="s">
        <v>98</v>
      </c>
      <c r="C26" s="6" t="s">
        <v>107</v>
      </c>
      <c r="D26" s="7" t="s">
        <v>108</v>
      </c>
      <c r="E26" s="5" t="s">
        <v>42</v>
      </c>
      <c r="F26" s="6" t="s">
        <v>43</v>
      </c>
      <c r="G26" s="5" t="s">
        <v>44</v>
      </c>
      <c r="H26" s="8" t="n">
        <v>17</v>
      </c>
      <c r="I26" s="8" t="n">
        <v>7</v>
      </c>
      <c r="J26" s="5" t="n">
        <v>0.4118</v>
      </c>
      <c r="K26" s="6" t="s">
        <v>82</v>
      </c>
      <c r="L26" s="6" t="s">
        <v>83</v>
      </c>
      <c r="M26" s="5" t="s">
        <v>84</v>
      </c>
      <c r="N26" s="5" t="s">
        <v>109</v>
      </c>
      <c r="O26" s="5" t="s">
        <v>110</v>
      </c>
      <c r="P26" s="7" t="s">
        <v>87</v>
      </c>
      <c r="Q26" s="5" t="n">
        <v>11</v>
      </c>
      <c r="R26" s="9" t="s">
        <v>73</v>
      </c>
      <c r="S26" s="7" t="s">
        <v>111</v>
      </c>
    </row>
    <row r="27" customFormat="false" ht="23.85" hidden="false" customHeight="false" outlineLevel="0" collapsed="false">
      <c r="A27" s="5" t="n">
        <v>95</v>
      </c>
      <c r="B27" s="5" t="s">
        <v>98</v>
      </c>
      <c r="C27" s="6" t="s">
        <v>107</v>
      </c>
      <c r="D27" s="7" t="s">
        <v>108</v>
      </c>
      <c r="E27" s="5" t="s">
        <v>53</v>
      </c>
      <c r="F27" s="6" t="s">
        <v>54</v>
      </c>
      <c r="G27" s="5" t="s">
        <v>55</v>
      </c>
      <c r="H27" s="8" t="n">
        <v>25</v>
      </c>
      <c r="I27" s="8" t="n">
        <v>0</v>
      </c>
      <c r="J27" s="5" t="n">
        <v>0</v>
      </c>
      <c r="K27" s="6" t="s">
        <v>82</v>
      </c>
      <c r="L27" s="6" t="s">
        <v>83</v>
      </c>
      <c r="M27" s="5" t="s">
        <v>84</v>
      </c>
      <c r="N27" s="5" t="s">
        <v>109</v>
      </c>
      <c r="O27" s="5" t="s">
        <v>110</v>
      </c>
      <c r="P27" s="7" t="s">
        <v>87</v>
      </c>
      <c r="Q27" s="5" t="n">
        <v>11</v>
      </c>
      <c r="R27" s="9" t="s">
        <v>73</v>
      </c>
      <c r="S27" s="7" t="s">
        <v>111</v>
      </c>
    </row>
    <row r="28" customFormat="false" ht="23.85" hidden="false" customHeight="false" outlineLevel="0" collapsed="false">
      <c r="A28" s="5" t="n">
        <v>95</v>
      </c>
      <c r="B28" s="5" t="s">
        <v>98</v>
      </c>
      <c r="C28" s="6" t="s">
        <v>107</v>
      </c>
      <c r="D28" s="7" t="s">
        <v>108</v>
      </c>
      <c r="E28" s="5" t="s">
        <v>56</v>
      </c>
      <c r="F28" s="6" t="s">
        <v>57</v>
      </c>
      <c r="G28" s="5" t="s">
        <v>55</v>
      </c>
      <c r="H28" s="8" t="n">
        <v>25</v>
      </c>
      <c r="I28" s="8" t="n">
        <v>0</v>
      </c>
      <c r="J28" s="5" t="n">
        <v>0</v>
      </c>
      <c r="K28" s="6" t="s">
        <v>82</v>
      </c>
      <c r="L28" s="6" t="s">
        <v>83</v>
      </c>
      <c r="M28" s="5" t="s">
        <v>84</v>
      </c>
      <c r="N28" s="5" t="s">
        <v>109</v>
      </c>
      <c r="O28" s="5" t="s">
        <v>110</v>
      </c>
      <c r="P28" s="7" t="s">
        <v>87</v>
      </c>
      <c r="Q28" s="5" t="n">
        <v>11</v>
      </c>
      <c r="R28" s="9" t="s">
        <v>73</v>
      </c>
      <c r="S28" s="7" t="s">
        <v>111</v>
      </c>
    </row>
    <row r="29" customFormat="false" ht="35.05" hidden="false" customHeight="false" outlineLevel="0" collapsed="false">
      <c r="A29" s="5" t="n">
        <v>96</v>
      </c>
      <c r="B29" s="5" t="s">
        <v>98</v>
      </c>
      <c r="C29" s="6" t="s">
        <v>112</v>
      </c>
      <c r="D29" s="7" t="s">
        <v>113</v>
      </c>
      <c r="E29" s="5" t="s">
        <v>42</v>
      </c>
      <c r="F29" s="6" t="s">
        <v>43</v>
      </c>
      <c r="G29" s="5" t="s">
        <v>44</v>
      </c>
      <c r="H29" s="8" t="n">
        <v>7</v>
      </c>
      <c r="I29" s="8" t="n">
        <v>2</v>
      </c>
      <c r="J29" s="5" t="n">
        <v>0.2857</v>
      </c>
      <c r="K29" s="6" t="s">
        <v>114</v>
      </c>
      <c r="L29" s="6" t="s">
        <v>115</v>
      </c>
      <c r="M29" s="5" t="s">
        <v>84</v>
      </c>
      <c r="N29" s="5" t="s">
        <v>116</v>
      </c>
      <c r="O29" s="5" t="s">
        <v>117</v>
      </c>
      <c r="P29" s="7" t="s">
        <v>87</v>
      </c>
      <c r="Q29" s="5" t="n">
        <v>7</v>
      </c>
      <c r="R29" s="9" t="s">
        <v>73</v>
      </c>
      <c r="S29" s="7" t="s">
        <v>118</v>
      </c>
    </row>
    <row r="30" customFormat="false" ht="35.05" hidden="false" customHeight="false" outlineLevel="0" collapsed="false">
      <c r="A30" s="5" t="n">
        <v>96</v>
      </c>
      <c r="B30" s="5" t="s">
        <v>98</v>
      </c>
      <c r="C30" s="6" t="s">
        <v>112</v>
      </c>
      <c r="D30" s="7" t="s">
        <v>113</v>
      </c>
      <c r="E30" s="5" t="s">
        <v>53</v>
      </c>
      <c r="F30" s="6" t="s">
        <v>54</v>
      </c>
      <c r="G30" s="5" t="s">
        <v>44</v>
      </c>
      <c r="H30" s="8" t="n">
        <v>16</v>
      </c>
      <c r="I30" s="8" t="n">
        <v>4</v>
      </c>
      <c r="J30" s="5" t="n">
        <v>0.25</v>
      </c>
      <c r="K30" s="6" t="s">
        <v>114</v>
      </c>
      <c r="L30" s="6" t="s">
        <v>115</v>
      </c>
      <c r="M30" s="5" t="s">
        <v>84</v>
      </c>
      <c r="N30" s="5" t="s">
        <v>116</v>
      </c>
      <c r="O30" s="5" t="s">
        <v>117</v>
      </c>
      <c r="P30" s="7" t="s">
        <v>87</v>
      </c>
      <c r="Q30" s="5" t="n">
        <v>7</v>
      </c>
      <c r="R30" s="9" t="s">
        <v>73</v>
      </c>
      <c r="S30" s="7" t="s">
        <v>118</v>
      </c>
    </row>
    <row r="31" customFormat="false" ht="35.05" hidden="false" customHeight="false" outlineLevel="0" collapsed="false">
      <c r="A31" s="5" t="n">
        <v>96</v>
      </c>
      <c r="B31" s="5" t="s">
        <v>98</v>
      </c>
      <c r="C31" s="6" t="s">
        <v>112</v>
      </c>
      <c r="D31" s="7" t="s">
        <v>113</v>
      </c>
      <c r="E31" s="5" t="s">
        <v>56</v>
      </c>
      <c r="F31" s="6" t="s">
        <v>57</v>
      </c>
      <c r="G31" s="5" t="s">
        <v>63</v>
      </c>
      <c r="H31" s="8" t="n">
        <v>18</v>
      </c>
      <c r="I31" s="8" t="n">
        <v>2</v>
      </c>
      <c r="J31" s="5" t="n">
        <v>0.1111</v>
      </c>
      <c r="K31" s="6" t="s">
        <v>114</v>
      </c>
      <c r="L31" s="6" t="s">
        <v>115</v>
      </c>
      <c r="M31" s="5" t="s">
        <v>84</v>
      </c>
      <c r="N31" s="5" t="s">
        <v>116</v>
      </c>
      <c r="O31" s="5" t="s">
        <v>117</v>
      </c>
      <c r="P31" s="7" t="s">
        <v>87</v>
      </c>
      <c r="Q31" s="5" t="n">
        <v>7</v>
      </c>
      <c r="R31" s="9" t="s">
        <v>73</v>
      </c>
      <c r="S31" s="7" t="s">
        <v>118</v>
      </c>
    </row>
    <row r="32" customFormat="false" ht="23.85" hidden="false" customHeight="false" outlineLevel="0" collapsed="false">
      <c r="A32" s="5" t="n">
        <v>102</v>
      </c>
      <c r="B32" s="5" t="s">
        <v>98</v>
      </c>
      <c r="C32" s="6" t="s">
        <v>119</v>
      </c>
      <c r="D32" s="7" t="s">
        <v>120</v>
      </c>
      <c r="E32" s="5" t="s">
        <v>42</v>
      </c>
      <c r="F32" s="6" t="s">
        <v>43</v>
      </c>
      <c r="G32" s="5" t="s">
        <v>63</v>
      </c>
      <c r="H32" s="8" t="n">
        <v>8</v>
      </c>
      <c r="I32" s="8" t="n">
        <v>1</v>
      </c>
      <c r="J32" s="5" t="n">
        <v>0.125</v>
      </c>
      <c r="K32" s="6" t="s">
        <v>114</v>
      </c>
      <c r="L32" s="6" t="s">
        <v>115</v>
      </c>
      <c r="M32" s="5" t="s">
        <v>84</v>
      </c>
      <c r="N32" s="5" t="s">
        <v>93</v>
      </c>
      <c r="O32" s="5" t="s">
        <v>121</v>
      </c>
      <c r="P32" s="7" t="s">
        <v>87</v>
      </c>
      <c r="Q32" s="5" t="n">
        <v>7</v>
      </c>
      <c r="R32" s="9" t="s">
        <v>51</v>
      </c>
      <c r="S32" s="7" t="s">
        <v>122</v>
      </c>
    </row>
    <row r="33" customFormat="false" ht="23.85" hidden="false" customHeight="false" outlineLevel="0" collapsed="false">
      <c r="A33" s="5" t="n">
        <v>102</v>
      </c>
      <c r="B33" s="5" t="s">
        <v>98</v>
      </c>
      <c r="C33" s="6" t="s">
        <v>119</v>
      </c>
      <c r="D33" s="7" t="s">
        <v>120</v>
      </c>
      <c r="E33" s="5" t="s">
        <v>53</v>
      </c>
      <c r="F33" s="6" t="s">
        <v>54</v>
      </c>
      <c r="G33" s="5" t="s">
        <v>44</v>
      </c>
      <c r="H33" s="8" t="n">
        <v>15</v>
      </c>
      <c r="I33" s="8" t="n">
        <v>6</v>
      </c>
      <c r="J33" s="5" t="n">
        <v>0.4</v>
      </c>
      <c r="K33" s="6" t="s">
        <v>114</v>
      </c>
      <c r="L33" s="6" t="s">
        <v>115</v>
      </c>
      <c r="M33" s="5" t="s">
        <v>84</v>
      </c>
      <c r="N33" s="5" t="s">
        <v>93</v>
      </c>
      <c r="O33" s="5" t="s">
        <v>121</v>
      </c>
      <c r="P33" s="7" t="s">
        <v>87</v>
      </c>
      <c r="Q33" s="5" t="n">
        <v>7</v>
      </c>
      <c r="R33" s="9" t="s">
        <v>51</v>
      </c>
      <c r="S33" s="7" t="s">
        <v>122</v>
      </c>
    </row>
    <row r="34" customFormat="false" ht="23.85" hidden="false" customHeight="false" outlineLevel="0" collapsed="false">
      <c r="A34" s="5" t="n">
        <v>102</v>
      </c>
      <c r="B34" s="5" t="s">
        <v>98</v>
      </c>
      <c r="C34" s="6" t="s">
        <v>119</v>
      </c>
      <c r="D34" s="7" t="s">
        <v>120</v>
      </c>
      <c r="E34" s="5" t="s">
        <v>56</v>
      </c>
      <c r="F34" s="6" t="s">
        <v>57</v>
      </c>
      <c r="G34" s="5" t="s">
        <v>44</v>
      </c>
      <c r="H34" s="8" t="n">
        <v>25</v>
      </c>
      <c r="I34" s="8" t="n">
        <v>10</v>
      </c>
      <c r="J34" s="5" t="n">
        <v>0.4</v>
      </c>
      <c r="K34" s="6" t="s">
        <v>114</v>
      </c>
      <c r="L34" s="6" t="s">
        <v>115</v>
      </c>
      <c r="M34" s="5" t="s">
        <v>84</v>
      </c>
      <c r="N34" s="5" t="s">
        <v>93</v>
      </c>
      <c r="O34" s="5" t="s">
        <v>121</v>
      </c>
      <c r="P34" s="7" t="s">
        <v>87</v>
      </c>
      <c r="Q34" s="5" t="n">
        <v>7</v>
      </c>
      <c r="R34" s="9" t="s">
        <v>51</v>
      </c>
      <c r="S34" s="7" t="s">
        <v>122</v>
      </c>
    </row>
    <row r="35" customFormat="false" ht="46.25" hidden="false" customHeight="false" outlineLevel="0" collapsed="false">
      <c r="A35" s="5" t="n">
        <v>103</v>
      </c>
      <c r="B35" s="5" t="s">
        <v>98</v>
      </c>
      <c r="C35" s="6" t="s">
        <v>123</v>
      </c>
      <c r="D35" s="7" t="s">
        <v>124</v>
      </c>
      <c r="E35" s="5" t="s">
        <v>42</v>
      </c>
      <c r="F35" s="6" t="s">
        <v>43</v>
      </c>
      <c r="G35" s="5" t="s">
        <v>44</v>
      </c>
      <c r="H35" s="8" t="n">
        <v>24</v>
      </c>
      <c r="I35" s="8" t="n">
        <v>5</v>
      </c>
      <c r="J35" s="5" t="n">
        <v>0.2083</v>
      </c>
      <c r="K35" s="6" t="s">
        <v>125</v>
      </c>
      <c r="L35" s="6" t="s">
        <v>126</v>
      </c>
      <c r="M35" s="5" t="s">
        <v>127</v>
      </c>
      <c r="N35" s="5" t="s">
        <v>128</v>
      </c>
      <c r="O35" s="5" t="s">
        <v>129</v>
      </c>
      <c r="P35" s="7" t="s">
        <v>130</v>
      </c>
      <c r="Q35" s="5" t="n">
        <v>3</v>
      </c>
      <c r="R35" s="9" t="s">
        <v>73</v>
      </c>
      <c r="S35" s="7" t="s">
        <v>131</v>
      </c>
    </row>
    <row r="36" customFormat="false" ht="46.25" hidden="false" customHeight="false" outlineLevel="0" collapsed="false">
      <c r="A36" s="5" t="n">
        <v>103</v>
      </c>
      <c r="B36" s="5" t="s">
        <v>98</v>
      </c>
      <c r="C36" s="6" t="s">
        <v>123</v>
      </c>
      <c r="D36" s="7" t="s">
        <v>124</v>
      </c>
      <c r="E36" s="5" t="s">
        <v>53</v>
      </c>
      <c r="F36" s="6" t="s">
        <v>54</v>
      </c>
      <c r="G36" s="5" t="s">
        <v>63</v>
      </c>
      <c r="H36" s="8" t="n">
        <v>15</v>
      </c>
      <c r="I36" s="8" t="n">
        <v>2</v>
      </c>
      <c r="J36" s="5" t="n">
        <v>0.1333</v>
      </c>
      <c r="K36" s="6" t="s">
        <v>125</v>
      </c>
      <c r="L36" s="6" t="s">
        <v>126</v>
      </c>
      <c r="M36" s="5" t="s">
        <v>127</v>
      </c>
      <c r="N36" s="5" t="s">
        <v>128</v>
      </c>
      <c r="O36" s="5" t="s">
        <v>129</v>
      </c>
      <c r="P36" s="7" t="s">
        <v>130</v>
      </c>
      <c r="Q36" s="5" t="n">
        <v>3</v>
      </c>
      <c r="R36" s="9" t="s">
        <v>73</v>
      </c>
      <c r="S36" s="7" t="s">
        <v>131</v>
      </c>
    </row>
    <row r="37" customFormat="false" ht="46.25" hidden="false" customHeight="false" outlineLevel="0" collapsed="false">
      <c r="A37" s="5" t="n">
        <v>103</v>
      </c>
      <c r="B37" s="5" t="s">
        <v>98</v>
      </c>
      <c r="C37" s="6" t="s">
        <v>123</v>
      </c>
      <c r="D37" s="7" t="s">
        <v>124</v>
      </c>
      <c r="E37" s="5" t="s">
        <v>56</v>
      </c>
      <c r="F37" s="6" t="s">
        <v>57</v>
      </c>
      <c r="G37" s="5" t="s">
        <v>63</v>
      </c>
      <c r="H37" s="8" t="n">
        <v>25</v>
      </c>
      <c r="I37" s="8" t="n">
        <v>2</v>
      </c>
      <c r="J37" s="5" t="n">
        <v>0.08</v>
      </c>
      <c r="K37" s="6" t="s">
        <v>125</v>
      </c>
      <c r="L37" s="6" t="s">
        <v>126</v>
      </c>
      <c r="M37" s="5" t="s">
        <v>127</v>
      </c>
      <c r="N37" s="5" t="s">
        <v>128</v>
      </c>
      <c r="O37" s="5" t="s">
        <v>129</v>
      </c>
      <c r="P37" s="7" t="s">
        <v>130</v>
      </c>
      <c r="Q37" s="5" t="n">
        <v>3</v>
      </c>
      <c r="R37" s="9" t="s">
        <v>73</v>
      </c>
      <c r="S37" s="7" t="s">
        <v>131</v>
      </c>
    </row>
    <row r="38" customFormat="false" ht="35.05" hidden="false" customHeight="false" outlineLevel="0" collapsed="false">
      <c r="A38" s="5" t="n">
        <v>106</v>
      </c>
      <c r="B38" s="5" t="s">
        <v>98</v>
      </c>
      <c r="C38" s="6" t="s">
        <v>132</v>
      </c>
      <c r="D38" s="7" t="s">
        <v>133</v>
      </c>
      <c r="E38" s="5" t="s">
        <v>42</v>
      </c>
      <c r="F38" s="6" t="s">
        <v>43</v>
      </c>
      <c r="G38" s="5" t="s">
        <v>44</v>
      </c>
      <c r="H38" s="8" t="n">
        <v>25</v>
      </c>
      <c r="I38" s="8" t="n">
        <v>7</v>
      </c>
      <c r="J38" s="5" t="n">
        <v>0.28</v>
      </c>
      <c r="K38" s="6" t="s">
        <v>134</v>
      </c>
      <c r="L38" s="6" t="s">
        <v>135</v>
      </c>
      <c r="M38" s="5" t="s">
        <v>84</v>
      </c>
      <c r="N38" s="5" t="s">
        <v>136</v>
      </c>
      <c r="O38" s="5" t="s">
        <v>137</v>
      </c>
      <c r="P38" s="7" t="s">
        <v>87</v>
      </c>
      <c r="Q38" s="5" t="n">
        <v>4</v>
      </c>
      <c r="R38" s="9" t="s">
        <v>73</v>
      </c>
      <c r="S38" s="7" t="s">
        <v>138</v>
      </c>
    </row>
    <row r="39" customFormat="false" ht="35.05" hidden="false" customHeight="false" outlineLevel="0" collapsed="false">
      <c r="A39" s="5" t="n">
        <v>106</v>
      </c>
      <c r="B39" s="5" t="s">
        <v>98</v>
      </c>
      <c r="C39" s="6" t="s">
        <v>132</v>
      </c>
      <c r="D39" s="7" t="s">
        <v>133</v>
      </c>
      <c r="E39" s="5" t="s">
        <v>53</v>
      </c>
      <c r="F39" s="6" t="s">
        <v>54</v>
      </c>
      <c r="G39" s="5" t="s">
        <v>63</v>
      </c>
      <c r="H39" s="8" t="n">
        <v>25</v>
      </c>
      <c r="I39" s="8" t="n">
        <v>4</v>
      </c>
      <c r="J39" s="5" t="n">
        <v>0.16</v>
      </c>
      <c r="K39" s="6" t="s">
        <v>134</v>
      </c>
      <c r="L39" s="6" t="s">
        <v>135</v>
      </c>
      <c r="M39" s="5" t="s">
        <v>84</v>
      </c>
      <c r="N39" s="5" t="s">
        <v>136</v>
      </c>
      <c r="O39" s="5" t="s">
        <v>137</v>
      </c>
      <c r="P39" s="7" t="s">
        <v>87</v>
      </c>
      <c r="Q39" s="5" t="n">
        <v>4</v>
      </c>
      <c r="R39" s="9" t="s">
        <v>73</v>
      </c>
      <c r="S39" s="7" t="s">
        <v>138</v>
      </c>
    </row>
    <row r="40" customFormat="false" ht="35.05" hidden="false" customHeight="false" outlineLevel="0" collapsed="false">
      <c r="A40" s="5" t="n">
        <v>106</v>
      </c>
      <c r="B40" s="5" t="s">
        <v>98</v>
      </c>
      <c r="C40" s="6" t="s">
        <v>132</v>
      </c>
      <c r="D40" s="7" t="s">
        <v>133</v>
      </c>
      <c r="E40" s="5" t="s">
        <v>56</v>
      </c>
      <c r="F40" s="6" t="s">
        <v>57</v>
      </c>
      <c r="G40" s="5" t="s">
        <v>63</v>
      </c>
      <c r="H40" s="8" t="n">
        <v>25</v>
      </c>
      <c r="I40" s="8" t="n">
        <v>3</v>
      </c>
      <c r="J40" s="5" t="n">
        <v>0.12</v>
      </c>
      <c r="K40" s="6" t="s">
        <v>134</v>
      </c>
      <c r="L40" s="6" t="s">
        <v>135</v>
      </c>
      <c r="M40" s="5" t="s">
        <v>84</v>
      </c>
      <c r="N40" s="5" t="s">
        <v>136</v>
      </c>
      <c r="O40" s="5" t="s">
        <v>137</v>
      </c>
      <c r="P40" s="7" t="s">
        <v>87</v>
      </c>
      <c r="Q40" s="5" t="n">
        <v>4</v>
      </c>
      <c r="R40" s="9" t="s">
        <v>73</v>
      </c>
      <c r="S40" s="7" t="s">
        <v>138</v>
      </c>
    </row>
    <row r="41" customFormat="false" ht="23.85" hidden="false" customHeight="false" outlineLevel="0" collapsed="false">
      <c r="A41" s="5" t="n">
        <v>114</v>
      </c>
      <c r="B41" s="5" t="s">
        <v>98</v>
      </c>
      <c r="C41" s="6" t="s">
        <v>139</v>
      </c>
      <c r="D41" s="7" t="s">
        <v>140</v>
      </c>
      <c r="E41" s="5" t="s">
        <v>42</v>
      </c>
      <c r="F41" s="6" t="s">
        <v>43</v>
      </c>
      <c r="G41" s="5" t="s">
        <v>44</v>
      </c>
      <c r="H41" s="8" t="n">
        <v>25</v>
      </c>
      <c r="I41" s="8" t="n">
        <v>6</v>
      </c>
      <c r="J41" s="5" t="n">
        <v>0.24</v>
      </c>
      <c r="K41" s="6" t="s">
        <v>134</v>
      </c>
      <c r="L41" s="6" t="s">
        <v>135</v>
      </c>
      <c r="M41" s="5" t="s">
        <v>84</v>
      </c>
      <c r="N41" s="5" t="s">
        <v>137</v>
      </c>
      <c r="O41" s="5" t="s">
        <v>141</v>
      </c>
      <c r="P41" s="7" t="s">
        <v>87</v>
      </c>
      <c r="Q41" s="5" t="n">
        <v>4</v>
      </c>
      <c r="R41" s="9" t="s">
        <v>73</v>
      </c>
      <c r="S41" s="7" t="s">
        <v>142</v>
      </c>
    </row>
    <row r="42" customFormat="false" ht="23.85" hidden="false" customHeight="false" outlineLevel="0" collapsed="false">
      <c r="A42" s="5" t="n">
        <v>114</v>
      </c>
      <c r="B42" s="5" t="s">
        <v>98</v>
      </c>
      <c r="C42" s="6" t="s">
        <v>139</v>
      </c>
      <c r="D42" s="7" t="s">
        <v>140</v>
      </c>
      <c r="E42" s="5" t="s">
        <v>53</v>
      </c>
      <c r="F42" s="6" t="s">
        <v>54</v>
      </c>
      <c r="G42" s="5" t="s">
        <v>63</v>
      </c>
      <c r="H42" s="8" t="n">
        <v>25</v>
      </c>
      <c r="I42" s="8" t="n">
        <v>4</v>
      </c>
      <c r="J42" s="5" t="n">
        <v>0.16</v>
      </c>
      <c r="K42" s="6" t="s">
        <v>134</v>
      </c>
      <c r="L42" s="6" t="s">
        <v>135</v>
      </c>
      <c r="M42" s="5" t="s">
        <v>84</v>
      </c>
      <c r="N42" s="5" t="s">
        <v>137</v>
      </c>
      <c r="O42" s="5" t="s">
        <v>141</v>
      </c>
      <c r="P42" s="7" t="s">
        <v>87</v>
      </c>
      <c r="Q42" s="5" t="n">
        <v>4</v>
      </c>
      <c r="R42" s="9" t="s">
        <v>73</v>
      </c>
      <c r="S42" s="7" t="s">
        <v>142</v>
      </c>
    </row>
    <row r="43" customFormat="false" ht="23.85" hidden="false" customHeight="false" outlineLevel="0" collapsed="false">
      <c r="A43" s="5" t="n">
        <v>114</v>
      </c>
      <c r="B43" s="5" t="s">
        <v>98</v>
      </c>
      <c r="C43" s="6" t="s">
        <v>139</v>
      </c>
      <c r="D43" s="7" t="s">
        <v>140</v>
      </c>
      <c r="E43" s="5" t="s">
        <v>56</v>
      </c>
      <c r="F43" s="6" t="s">
        <v>57</v>
      </c>
      <c r="G43" s="5" t="s">
        <v>55</v>
      </c>
      <c r="H43" s="8" t="n">
        <v>25</v>
      </c>
      <c r="I43" s="8" t="n">
        <v>0</v>
      </c>
      <c r="J43" s="5" t="n">
        <v>0</v>
      </c>
      <c r="K43" s="6" t="s">
        <v>134</v>
      </c>
      <c r="L43" s="6" t="s">
        <v>135</v>
      </c>
      <c r="M43" s="5" t="s">
        <v>84</v>
      </c>
      <c r="N43" s="5" t="s">
        <v>137</v>
      </c>
      <c r="O43" s="5" t="s">
        <v>141</v>
      </c>
      <c r="P43" s="7" t="s">
        <v>87</v>
      </c>
      <c r="Q43" s="5" t="n">
        <v>4</v>
      </c>
      <c r="R43" s="9" t="s">
        <v>73</v>
      </c>
      <c r="S43" s="7" t="s">
        <v>142</v>
      </c>
    </row>
    <row r="44" customFormat="false" ht="23.85" hidden="false" customHeight="false" outlineLevel="0" collapsed="false">
      <c r="A44" s="5" t="n">
        <v>124</v>
      </c>
      <c r="B44" s="5" t="s">
        <v>98</v>
      </c>
      <c r="C44" s="6" t="s">
        <v>143</v>
      </c>
      <c r="D44" s="7" t="s">
        <v>144</v>
      </c>
      <c r="E44" s="5" t="s">
        <v>42</v>
      </c>
      <c r="F44" s="6" t="s">
        <v>43</v>
      </c>
      <c r="G44" s="5" t="s">
        <v>63</v>
      </c>
      <c r="H44" s="8" t="n">
        <v>25</v>
      </c>
      <c r="I44" s="8" t="n">
        <v>1</v>
      </c>
      <c r="J44" s="5" t="n">
        <v>0.04</v>
      </c>
      <c r="K44" s="6" t="s">
        <v>91</v>
      </c>
      <c r="L44" s="6" t="s">
        <v>92</v>
      </c>
      <c r="M44" s="5" t="s">
        <v>47</v>
      </c>
      <c r="N44" s="5" t="s">
        <v>117</v>
      </c>
      <c r="O44" s="5" t="s">
        <v>145</v>
      </c>
      <c r="P44" s="7" t="s">
        <v>95</v>
      </c>
      <c r="Q44" s="5" t="n">
        <v>8</v>
      </c>
      <c r="R44" s="9" t="s">
        <v>96</v>
      </c>
      <c r="S44" s="7" t="s">
        <v>146</v>
      </c>
    </row>
    <row r="45" customFormat="false" ht="23.85" hidden="false" customHeight="false" outlineLevel="0" collapsed="false">
      <c r="A45" s="5" t="n">
        <v>124</v>
      </c>
      <c r="B45" s="5" t="s">
        <v>98</v>
      </c>
      <c r="C45" s="6" t="s">
        <v>143</v>
      </c>
      <c r="D45" s="7" t="s">
        <v>144</v>
      </c>
      <c r="E45" s="5" t="s">
        <v>53</v>
      </c>
      <c r="F45" s="6" t="s">
        <v>54</v>
      </c>
      <c r="G45" s="5" t="s">
        <v>55</v>
      </c>
      <c r="H45" s="8" t="n">
        <v>25</v>
      </c>
      <c r="I45" s="8" t="n">
        <v>1</v>
      </c>
      <c r="J45" s="5" t="n">
        <v>0.04</v>
      </c>
      <c r="K45" s="6" t="s">
        <v>91</v>
      </c>
      <c r="L45" s="6" t="s">
        <v>92</v>
      </c>
      <c r="M45" s="5" t="s">
        <v>47</v>
      </c>
      <c r="N45" s="5" t="s">
        <v>117</v>
      </c>
      <c r="O45" s="5" t="s">
        <v>145</v>
      </c>
      <c r="P45" s="7" t="s">
        <v>95</v>
      </c>
      <c r="Q45" s="5" t="n">
        <v>8</v>
      </c>
      <c r="R45" s="9" t="s">
        <v>96</v>
      </c>
      <c r="S45" s="7" t="s">
        <v>146</v>
      </c>
    </row>
    <row r="46" customFormat="false" ht="23.85" hidden="false" customHeight="false" outlineLevel="0" collapsed="false">
      <c r="A46" s="5" t="n">
        <v>124</v>
      </c>
      <c r="B46" s="5" t="s">
        <v>98</v>
      </c>
      <c r="C46" s="6" t="s">
        <v>143</v>
      </c>
      <c r="D46" s="7" t="s">
        <v>144</v>
      </c>
      <c r="E46" s="5" t="s">
        <v>56</v>
      </c>
      <c r="F46" s="6" t="s">
        <v>57</v>
      </c>
      <c r="G46" s="5" t="s">
        <v>63</v>
      </c>
      <c r="H46" s="8" t="n">
        <v>25</v>
      </c>
      <c r="I46" s="8" t="n">
        <v>1</v>
      </c>
      <c r="J46" s="5" t="n">
        <v>0.04</v>
      </c>
      <c r="K46" s="6" t="s">
        <v>91</v>
      </c>
      <c r="L46" s="6" t="s">
        <v>92</v>
      </c>
      <c r="M46" s="5" t="s">
        <v>47</v>
      </c>
      <c r="N46" s="5" t="s">
        <v>117</v>
      </c>
      <c r="O46" s="5" t="s">
        <v>145</v>
      </c>
      <c r="P46" s="7" t="s">
        <v>95</v>
      </c>
      <c r="Q46" s="5" t="n">
        <v>8</v>
      </c>
      <c r="R46" s="9" t="s">
        <v>96</v>
      </c>
      <c r="S46" s="7" t="s">
        <v>146</v>
      </c>
    </row>
  </sheetData>
  <autoFilter ref="A1:S46"/>
  <conditionalFormatting sqref="R2:R46">
    <cfRule type="cellIs" priority="2" operator="equal" aboveAverage="0" equalAverage="0" bottom="0" percent="0" rank="0" text="" dxfId="7">
      <formula>"ADMITIDA"</formula>
    </cfRule>
    <cfRule type="cellIs" priority="3" operator="equal" aboveAverage="0" equalAverage="0" bottom="0" percent="0" rank="0" text="" dxfId="8">
      <formula>"ADMITIDA CON RESERVA"</formula>
    </cfRule>
    <cfRule type="cellIs" priority="4" operator="equal" aboveAverage="0" equalAverage="0" bottom="0" percent="0" rank="0" text="" dxfId="9">
      <formula>"NO ADMISIBLE"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34"/>
    <col collapsed="false" customWidth="true" hidden="false" outlineLevel="0" max="5" min="5" style="0" width="9"/>
    <col collapsed="false" customWidth="true" hidden="false" outlineLevel="0" max="6" min="6" style="0" width="3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10" min="9" style="0" width="13"/>
    <col collapsed="false" customWidth="true" hidden="false" outlineLevel="0" max="11" min="11" style="0" width="9"/>
    <col collapsed="false" customWidth="true" hidden="false" outlineLevel="0" max="13" min="12" style="0" width="11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28"/>
    <col collapsed="false" customWidth="true" hidden="false" outlineLevel="0" max="17" min="17" style="0" width="80"/>
    <col collapsed="false" customWidth="true" hidden="false" outlineLevel="0" max="18" min="18" style="0" width="12"/>
    <col collapsed="false" customWidth="true" hidden="false" outlineLevel="0" max="19" min="19" style="0" width="18"/>
    <col collapsed="false" customWidth="true" hidden="false" outlineLevel="0" max="20" min="20" style="0" width="12"/>
    <col collapsed="false" customWidth="true" hidden="false" outlineLevel="0" max="21" min="21" style="0" width="90"/>
  </cols>
  <sheetData>
    <row r="1" customFormat="false" ht="42" hidden="false" customHeight="true" outlineLevel="0" collapsed="false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147</v>
      </c>
      <c r="H1" s="4" t="s">
        <v>148</v>
      </c>
      <c r="I1" s="4" t="s">
        <v>149</v>
      </c>
      <c r="J1" s="4" t="s">
        <v>150</v>
      </c>
      <c r="K1" s="4" t="s">
        <v>29</v>
      </c>
      <c r="L1" s="4" t="s">
        <v>151</v>
      </c>
      <c r="M1" s="4" t="s">
        <v>30</v>
      </c>
      <c r="N1" s="4" t="s">
        <v>31</v>
      </c>
      <c r="O1" s="4" t="s">
        <v>152</v>
      </c>
      <c r="P1" s="4" t="s">
        <v>153</v>
      </c>
      <c r="Q1" s="4" t="s">
        <v>154</v>
      </c>
      <c r="R1" s="4" t="s">
        <v>155</v>
      </c>
      <c r="S1" s="4" t="s">
        <v>156</v>
      </c>
      <c r="T1" s="4" t="s">
        <v>157</v>
      </c>
      <c r="U1" s="4" t="s">
        <v>158</v>
      </c>
    </row>
    <row r="2" customFormat="false" ht="23.85" hidden="false" customHeight="false" outlineLevel="0" collapsed="false">
      <c r="A2" s="5" t="n">
        <v>7</v>
      </c>
      <c r="B2" s="5" t="s">
        <v>39</v>
      </c>
      <c r="C2" s="6" t="s">
        <v>40</v>
      </c>
      <c r="D2" s="7" t="s">
        <v>41</v>
      </c>
      <c r="E2" s="5" t="s">
        <v>42</v>
      </c>
      <c r="F2" s="6" t="s">
        <v>43</v>
      </c>
      <c r="G2" s="5" t="s">
        <v>55</v>
      </c>
      <c r="H2" s="5" t="s">
        <v>55</v>
      </c>
      <c r="I2" s="8" t="n">
        <v>17</v>
      </c>
      <c r="J2" s="8" t="n">
        <v>0</v>
      </c>
      <c r="K2" s="5" t="n">
        <v>0</v>
      </c>
      <c r="L2" s="5" t="s">
        <v>159</v>
      </c>
      <c r="M2" s="6" t="s">
        <v>160</v>
      </c>
      <c r="N2" s="6" t="s">
        <v>161</v>
      </c>
      <c r="O2" s="5" t="s">
        <v>162</v>
      </c>
      <c r="P2" s="6" t="s">
        <v>163</v>
      </c>
      <c r="Q2" s="7" t="s">
        <v>164</v>
      </c>
      <c r="R2" s="5" t="s">
        <v>165</v>
      </c>
      <c r="S2" s="5" t="s">
        <v>166</v>
      </c>
      <c r="T2" s="5" t="s">
        <v>167</v>
      </c>
      <c r="U2" s="7" t="s">
        <v>168</v>
      </c>
    </row>
    <row r="3" customFormat="false" ht="23.85" hidden="false" customHeight="false" outlineLevel="0" collapsed="false">
      <c r="A3" s="5" t="n">
        <v>7</v>
      </c>
      <c r="B3" s="5" t="s">
        <v>39</v>
      </c>
      <c r="C3" s="6" t="s">
        <v>40</v>
      </c>
      <c r="D3" s="7" t="s">
        <v>41</v>
      </c>
      <c r="E3" s="5" t="s">
        <v>53</v>
      </c>
      <c r="F3" s="6" t="s">
        <v>54</v>
      </c>
      <c r="G3" s="5" t="s">
        <v>55</v>
      </c>
      <c r="H3" s="5" t="s">
        <v>55</v>
      </c>
      <c r="I3" s="8" t="n">
        <v>17</v>
      </c>
      <c r="J3" s="8" t="n">
        <v>0</v>
      </c>
      <c r="K3" s="5" t="n">
        <v>0</v>
      </c>
      <c r="L3" s="5" t="s">
        <v>159</v>
      </c>
      <c r="M3" s="6" t="s">
        <v>160</v>
      </c>
      <c r="N3" s="6" t="s">
        <v>161</v>
      </c>
      <c r="O3" s="5" t="s">
        <v>162</v>
      </c>
      <c r="P3" s="6" t="s">
        <v>169</v>
      </c>
      <c r="Q3" s="7" t="s">
        <v>170</v>
      </c>
      <c r="R3" s="5" t="s">
        <v>171</v>
      </c>
      <c r="S3" s="5" t="s">
        <v>172</v>
      </c>
      <c r="T3" s="5" t="s">
        <v>167</v>
      </c>
      <c r="U3" s="7" t="s">
        <v>173</v>
      </c>
    </row>
    <row r="4" customFormat="false" ht="35.05" hidden="false" customHeight="false" outlineLevel="0" collapsed="false">
      <c r="A4" s="5" t="n">
        <v>7</v>
      </c>
      <c r="B4" s="5" t="s">
        <v>39</v>
      </c>
      <c r="C4" s="6" t="s">
        <v>40</v>
      </c>
      <c r="D4" s="7" t="s">
        <v>41</v>
      </c>
      <c r="E4" s="5" t="s">
        <v>56</v>
      </c>
      <c r="F4" s="6" t="s">
        <v>57</v>
      </c>
      <c r="G4" s="5" t="s">
        <v>55</v>
      </c>
      <c r="H4" s="5" t="s">
        <v>55</v>
      </c>
      <c r="I4" s="8" t="n">
        <v>17</v>
      </c>
      <c r="J4" s="8" t="n">
        <v>0</v>
      </c>
      <c r="K4" s="5" t="n">
        <v>0</v>
      </c>
      <c r="L4" s="5" t="s">
        <v>159</v>
      </c>
      <c r="M4" s="6" t="s">
        <v>160</v>
      </c>
      <c r="N4" s="6" t="s">
        <v>161</v>
      </c>
      <c r="O4" s="5" t="s">
        <v>162</v>
      </c>
      <c r="P4" s="6" t="s">
        <v>174</v>
      </c>
      <c r="Q4" s="7" t="s">
        <v>175</v>
      </c>
      <c r="R4" s="5" t="s">
        <v>165</v>
      </c>
      <c r="S4" s="5" t="s">
        <v>176</v>
      </c>
      <c r="T4" s="5" t="s">
        <v>167</v>
      </c>
      <c r="U4" s="7" t="s">
        <v>177</v>
      </c>
    </row>
    <row r="5" customFormat="false" ht="23.85" hidden="false" customHeight="false" outlineLevel="0" collapsed="false">
      <c r="A5" s="5" t="n">
        <v>14</v>
      </c>
      <c r="B5" s="5" t="s">
        <v>39</v>
      </c>
      <c r="C5" s="6" t="s">
        <v>58</v>
      </c>
      <c r="D5" s="7" t="s">
        <v>59</v>
      </c>
      <c r="E5" s="5" t="s">
        <v>42</v>
      </c>
      <c r="F5" s="6" t="s">
        <v>43</v>
      </c>
      <c r="G5" s="5" t="s">
        <v>44</v>
      </c>
      <c r="H5" s="5" t="s">
        <v>44</v>
      </c>
      <c r="I5" s="8" t="n">
        <v>27</v>
      </c>
      <c r="J5" s="8" t="n">
        <v>22</v>
      </c>
      <c r="K5" s="5" t="n">
        <v>0.8148</v>
      </c>
      <c r="L5" s="5" t="s">
        <v>159</v>
      </c>
      <c r="M5" s="6" t="s">
        <v>160</v>
      </c>
      <c r="N5" s="6" t="s">
        <v>161</v>
      </c>
      <c r="O5" s="5" t="s">
        <v>162</v>
      </c>
      <c r="P5" s="6" t="s">
        <v>178</v>
      </c>
      <c r="Q5" s="7" t="s">
        <v>179</v>
      </c>
      <c r="R5" s="5" t="s">
        <v>171</v>
      </c>
      <c r="S5" s="5" t="s">
        <v>180</v>
      </c>
      <c r="T5" s="5" t="s">
        <v>167</v>
      </c>
      <c r="U5" s="7" t="s">
        <v>181</v>
      </c>
    </row>
    <row r="6" customFormat="false" ht="23.85" hidden="false" customHeight="false" outlineLevel="0" collapsed="false">
      <c r="A6" s="5" t="n">
        <v>14</v>
      </c>
      <c r="B6" s="5" t="s">
        <v>39</v>
      </c>
      <c r="C6" s="6" t="s">
        <v>58</v>
      </c>
      <c r="D6" s="7" t="s">
        <v>59</v>
      </c>
      <c r="E6" s="5" t="s">
        <v>53</v>
      </c>
      <c r="F6" s="6" t="s">
        <v>54</v>
      </c>
      <c r="G6" s="5" t="s">
        <v>55</v>
      </c>
      <c r="H6" s="5" t="s">
        <v>55</v>
      </c>
      <c r="I6" s="8" t="n">
        <v>27</v>
      </c>
      <c r="J6" s="8" t="n">
        <v>22</v>
      </c>
      <c r="K6" s="5" t="n">
        <v>0.8148</v>
      </c>
      <c r="L6" s="5" t="s">
        <v>171</v>
      </c>
      <c r="M6" s="6" t="s">
        <v>160</v>
      </c>
      <c r="N6" s="6" t="s">
        <v>161</v>
      </c>
      <c r="O6" s="5" t="s">
        <v>162</v>
      </c>
      <c r="P6" s="6" t="s">
        <v>182</v>
      </c>
      <c r="Q6" s="7" t="s">
        <v>183</v>
      </c>
      <c r="R6" s="5" t="s">
        <v>171</v>
      </c>
      <c r="S6" s="5" t="s">
        <v>184</v>
      </c>
      <c r="T6" s="5" t="s">
        <v>167</v>
      </c>
      <c r="U6" s="7" t="s">
        <v>185</v>
      </c>
    </row>
    <row r="7" customFormat="false" ht="15" hidden="false" customHeight="false" outlineLevel="0" collapsed="false">
      <c r="A7" s="5" t="n">
        <v>14</v>
      </c>
      <c r="B7" s="5" t="s">
        <v>39</v>
      </c>
      <c r="C7" s="6" t="s">
        <v>58</v>
      </c>
      <c r="D7" s="7" t="s">
        <v>59</v>
      </c>
      <c r="E7" s="5" t="s">
        <v>56</v>
      </c>
      <c r="F7" s="6" t="s">
        <v>57</v>
      </c>
      <c r="G7" s="5" t="s">
        <v>55</v>
      </c>
      <c r="H7" s="5" t="s">
        <v>55</v>
      </c>
      <c r="I7" s="8" t="n">
        <v>27</v>
      </c>
      <c r="J7" s="8" t="n">
        <v>22</v>
      </c>
      <c r="K7" s="5" t="n">
        <v>0.8148</v>
      </c>
      <c r="L7" s="5" t="s">
        <v>171</v>
      </c>
      <c r="M7" s="6" t="s">
        <v>160</v>
      </c>
      <c r="N7" s="6" t="s">
        <v>161</v>
      </c>
      <c r="O7" s="5" t="s">
        <v>162</v>
      </c>
      <c r="P7" s="6" t="s">
        <v>186</v>
      </c>
      <c r="Q7" s="7" t="s">
        <v>187</v>
      </c>
      <c r="R7" s="5" t="s">
        <v>171</v>
      </c>
      <c r="S7" s="5" t="s">
        <v>188</v>
      </c>
      <c r="T7" s="5" t="s">
        <v>167</v>
      </c>
      <c r="U7" s="7" t="s">
        <v>189</v>
      </c>
    </row>
    <row r="8" customFormat="false" ht="35.05" hidden="false" customHeight="false" outlineLevel="0" collapsed="false">
      <c r="A8" s="5" t="n">
        <v>83</v>
      </c>
      <c r="B8" s="5" t="s">
        <v>98</v>
      </c>
      <c r="C8" s="6" t="s">
        <v>99</v>
      </c>
      <c r="D8" s="7" t="s">
        <v>100</v>
      </c>
      <c r="E8" s="5" t="s">
        <v>42</v>
      </c>
      <c r="F8" s="6" t="s">
        <v>43</v>
      </c>
      <c r="G8" s="5" t="s">
        <v>44</v>
      </c>
      <c r="H8" s="5" t="s">
        <v>44</v>
      </c>
      <c r="I8" s="8" t="n">
        <v>20</v>
      </c>
      <c r="J8" s="8" t="n">
        <v>11</v>
      </c>
      <c r="K8" s="5" t="n">
        <v>0.55</v>
      </c>
      <c r="L8" s="5" t="s">
        <v>159</v>
      </c>
      <c r="M8" s="6" t="s">
        <v>160</v>
      </c>
      <c r="N8" s="6" t="s">
        <v>161</v>
      </c>
      <c r="O8" s="5" t="s">
        <v>162</v>
      </c>
      <c r="P8" s="6" t="s">
        <v>190</v>
      </c>
      <c r="Q8" s="7" t="s">
        <v>191</v>
      </c>
      <c r="R8" s="5" t="s">
        <v>192</v>
      </c>
      <c r="S8" s="5" t="s">
        <v>193</v>
      </c>
      <c r="T8" s="5" t="s">
        <v>167</v>
      </c>
      <c r="U8" s="7" t="s">
        <v>194</v>
      </c>
    </row>
    <row r="9" customFormat="false" ht="23.85" hidden="false" customHeight="false" outlineLevel="0" collapsed="false">
      <c r="A9" s="5" t="n">
        <v>83</v>
      </c>
      <c r="B9" s="5" t="s">
        <v>98</v>
      </c>
      <c r="C9" s="6" t="s">
        <v>99</v>
      </c>
      <c r="D9" s="7" t="s">
        <v>100</v>
      </c>
      <c r="E9" s="5" t="s">
        <v>53</v>
      </c>
      <c r="F9" s="6" t="s">
        <v>54</v>
      </c>
      <c r="G9" s="5" t="s">
        <v>63</v>
      </c>
      <c r="H9" s="5" t="s">
        <v>63</v>
      </c>
      <c r="I9" s="8" t="n">
        <v>20</v>
      </c>
      <c r="J9" s="8" t="n">
        <v>11</v>
      </c>
      <c r="K9" s="5" t="n">
        <v>0.55</v>
      </c>
      <c r="L9" s="5" t="s">
        <v>171</v>
      </c>
      <c r="M9" s="6" t="s">
        <v>160</v>
      </c>
      <c r="N9" s="6" t="s">
        <v>161</v>
      </c>
      <c r="O9" s="5" t="s">
        <v>162</v>
      </c>
      <c r="P9" s="6" t="s">
        <v>195</v>
      </c>
      <c r="Q9" s="7" t="s">
        <v>196</v>
      </c>
      <c r="R9" s="5" t="s">
        <v>171</v>
      </c>
      <c r="S9" s="5" t="s">
        <v>197</v>
      </c>
      <c r="T9" s="5" t="s">
        <v>167</v>
      </c>
      <c r="U9" s="7" t="s">
        <v>185</v>
      </c>
    </row>
    <row r="10" customFormat="false" ht="15" hidden="false" customHeight="false" outlineLevel="0" collapsed="false">
      <c r="A10" s="5" t="n">
        <v>83</v>
      </c>
      <c r="B10" s="5" t="s">
        <v>98</v>
      </c>
      <c r="C10" s="6" t="s">
        <v>99</v>
      </c>
      <c r="D10" s="7" t="s">
        <v>100</v>
      </c>
      <c r="E10" s="5" t="s">
        <v>56</v>
      </c>
      <c r="F10" s="6" t="s">
        <v>57</v>
      </c>
      <c r="G10" s="5" t="s">
        <v>44</v>
      </c>
      <c r="H10" s="5" t="s">
        <v>44</v>
      </c>
      <c r="I10" s="8" t="n">
        <v>20</v>
      </c>
      <c r="J10" s="8" t="n">
        <v>11</v>
      </c>
      <c r="K10" s="5" t="n">
        <v>0.55</v>
      </c>
      <c r="L10" s="5" t="s">
        <v>159</v>
      </c>
      <c r="M10" s="6" t="s">
        <v>160</v>
      </c>
      <c r="N10" s="6" t="s">
        <v>161</v>
      </c>
      <c r="O10" s="5" t="s">
        <v>162</v>
      </c>
      <c r="P10" s="6" t="s">
        <v>198</v>
      </c>
      <c r="Q10" s="7" t="s">
        <v>199</v>
      </c>
      <c r="R10" s="5" t="s">
        <v>171</v>
      </c>
      <c r="S10" s="5" t="s">
        <v>200</v>
      </c>
      <c r="T10" s="5" t="s">
        <v>167</v>
      </c>
      <c r="U10" s="7" t="s">
        <v>189</v>
      </c>
    </row>
    <row r="11" customFormat="false" ht="23.85" hidden="false" customHeight="false" outlineLevel="0" collapsed="false">
      <c r="A11" s="5" t="n">
        <v>95</v>
      </c>
      <c r="B11" s="5" t="s">
        <v>98</v>
      </c>
      <c r="C11" s="6" t="s">
        <v>107</v>
      </c>
      <c r="D11" s="7" t="s">
        <v>108</v>
      </c>
      <c r="E11" s="5" t="s">
        <v>42</v>
      </c>
      <c r="F11" s="6" t="s">
        <v>43</v>
      </c>
      <c r="G11" s="5" t="s">
        <v>44</v>
      </c>
      <c r="H11" s="5" t="s">
        <v>44</v>
      </c>
      <c r="I11" s="8" t="n">
        <v>10</v>
      </c>
      <c r="J11" s="8" t="n">
        <v>8</v>
      </c>
      <c r="K11" s="5" t="n">
        <v>0.8</v>
      </c>
      <c r="L11" s="5" t="s">
        <v>159</v>
      </c>
      <c r="M11" s="6" t="s">
        <v>160</v>
      </c>
      <c r="N11" s="6" t="s">
        <v>161</v>
      </c>
      <c r="O11" s="5" t="s">
        <v>162</v>
      </c>
      <c r="P11" s="6" t="s">
        <v>201</v>
      </c>
      <c r="Q11" s="7" t="s">
        <v>202</v>
      </c>
      <c r="R11" s="5" t="s">
        <v>171</v>
      </c>
      <c r="S11" s="5" t="s">
        <v>203</v>
      </c>
      <c r="T11" s="5" t="s">
        <v>167</v>
      </c>
      <c r="U11" s="7" t="s">
        <v>204</v>
      </c>
    </row>
    <row r="12" customFormat="false" ht="15" hidden="false" customHeight="false" outlineLevel="0" collapsed="false">
      <c r="A12" s="5" t="n">
        <v>95</v>
      </c>
      <c r="B12" s="5" t="s">
        <v>98</v>
      </c>
      <c r="C12" s="6" t="s">
        <v>107</v>
      </c>
      <c r="D12" s="7" t="s">
        <v>108</v>
      </c>
      <c r="E12" s="5" t="s">
        <v>53</v>
      </c>
      <c r="F12" s="6" t="s">
        <v>54</v>
      </c>
      <c r="G12" s="5" t="s">
        <v>55</v>
      </c>
      <c r="H12" s="5" t="s">
        <v>55</v>
      </c>
      <c r="I12" s="8" t="n">
        <v>10</v>
      </c>
      <c r="J12" s="8" t="n">
        <v>8</v>
      </c>
      <c r="K12" s="5" t="n">
        <v>0.8</v>
      </c>
      <c r="L12" s="5" t="s">
        <v>171</v>
      </c>
      <c r="M12" s="6" t="s">
        <v>160</v>
      </c>
      <c r="N12" s="6" t="s">
        <v>161</v>
      </c>
      <c r="O12" s="5" t="s">
        <v>162</v>
      </c>
      <c r="P12" s="6" t="s">
        <v>205</v>
      </c>
      <c r="Q12" s="7" t="s">
        <v>206</v>
      </c>
      <c r="R12" s="5" t="s">
        <v>171</v>
      </c>
      <c r="S12" s="5" t="s">
        <v>207</v>
      </c>
      <c r="T12" s="5" t="s">
        <v>167</v>
      </c>
      <c r="U12" s="7" t="s">
        <v>185</v>
      </c>
    </row>
    <row r="13" customFormat="false" ht="15" hidden="false" customHeight="false" outlineLevel="0" collapsed="false">
      <c r="A13" s="5" t="n">
        <v>95</v>
      </c>
      <c r="B13" s="5" t="s">
        <v>98</v>
      </c>
      <c r="C13" s="6" t="s">
        <v>107</v>
      </c>
      <c r="D13" s="7" t="s">
        <v>108</v>
      </c>
      <c r="E13" s="5" t="s">
        <v>56</v>
      </c>
      <c r="F13" s="6" t="s">
        <v>57</v>
      </c>
      <c r="G13" s="5" t="s">
        <v>55</v>
      </c>
      <c r="H13" s="5" t="s">
        <v>55</v>
      </c>
      <c r="I13" s="8" t="n">
        <v>10</v>
      </c>
      <c r="J13" s="8" t="n">
        <v>8</v>
      </c>
      <c r="K13" s="5" t="n">
        <v>0.8</v>
      </c>
      <c r="L13" s="5" t="s">
        <v>171</v>
      </c>
      <c r="M13" s="6" t="s">
        <v>160</v>
      </c>
      <c r="N13" s="6" t="s">
        <v>161</v>
      </c>
      <c r="O13" s="5" t="s">
        <v>162</v>
      </c>
      <c r="P13" s="6" t="s">
        <v>208</v>
      </c>
      <c r="Q13" s="7" t="s">
        <v>209</v>
      </c>
      <c r="R13" s="5" t="s">
        <v>171</v>
      </c>
      <c r="S13" s="5" t="s">
        <v>210</v>
      </c>
      <c r="T13" s="5" t="s">
        <v>167</v>
      </c>
      <c r="U13" s="7" t="s">
        <v>189</v>
      </c>
    </row>
    <row r="14" customFormat="false" ht="23.85" hidden="false" customHeight="false" outlineLevel="0" collapsed="false">
      <c r="A14" s="5" t="n">
        <v>96</v>
      </c>
      <c r="B14" s="5" t="s">
        <v>98</v>
      </c>
      <c r="C14" s="6" t="s">
        <v>112</v>
      </c>
      <c r="D14" s="7" t="s">
        <v>113</v>
      </c>
      <c r="E14" s="5" t="s">
        <v>42</v>
      </c>
      <c r="F14" s="6" t="s">
        <v>43</v>
      </c>
      <c r="G14" s="5" t="s">
        <v>44</v>
      </c>
      <c r="H14" s="5" t="s">
        <v>44</v>
      </c>
      <c r="I14" s="8" t="n">
        <v>15</v>
      </c>
      <c r="J14" s="8" t="n">
        <v>7</v>
      </c>
      <c r="K14" s="5" t="n">
        <v>0.4667</v>
      </c>
      <c r="L14" s="5" t="s">
        <v>159</v>
      </c>
      <c r="M14" s="6" t="s">
        <v>160</v>
      </c>
      <c r="N14" s="6" t="s">
        <v>161</v>
      </c>
      <c r="O14" s="5" t="s">
        <v>162</v>
      </c>
      <c r="P14" s="6" t="s">
        <v>211</v>
      </c>
      <c r="Q14" s="7" t="s">
        <v>212</v>
      </c>
      <c r="R14" s="5" t="s">
        <v>165</v>
      </c>
      <c r="S14" s="5" t="s">
        <v>213</v>
      </c>
      <c r="T14" s="5" t="s">
        <v>214</v>
      </c>
      <c r="U14" s="7" t="s">
        <v>215</v>
      </c>
    </row>
    <row r="15" customFormat="false" ht="15" hidden="false" customHeight="false" outlineLevel="0" collapsed="false">
      <c r="A15" s="5" t="n">
        <v>96</v>
      </c>
      <c r="B15" s="5" t="s">
        <v>98</v>
      </c>
      <c r="C15" s="6" t="s">
        <v>112</v>
      </c>
      <c r="D15" s="7" t="s">
        <v>113</v>
      </c>
      <c r="E15" s="5" t="s">
        <v>53</v>
      </c>
      <c r="F15" s="6" t="s">
        <v>54</v>
      </c>
      <c r="G15" s="5" t="s">
        <v>55</v>
      </c>
      <c r="H15" s="5" t="s">
        <v>55</v>
      </c>
      <c r="I15" s="8" t="n">
        <v>15</v>
      </c>
      <c r="J15" s="8" t="n">
        <v>7</v>
      </c>
      <c r="K15" s="5" t="n">
        <v>0.4667</v>
      </c>
      <c r="L15" s="5" t="s">
        <v>171</v>
      </c>
      <c r="M15" s="6" t="s">
        <v>160</v>
      </c>
      <c r="N15" s="6" t="s">
        <v>161</v>
      </c>
      <c r="O15" s="5" t="s">
        <v>162</v>
      </c>
      <c r="P15" s="6" t="s">
        <v>216</v>
      </c>
      <c r="Q15" s="7" t="s">
        <v>217</v>
      </c>
      <c r="R15" s="5" t="s">
        <v>171</v>
      </c>
      <c r="S15" s="5" t="s">
        <v>218</v>
      </c>
      <c r="T15" s="5" t="s">
        <v>167</v>
      </c>
      <c r="U15" s="7" t="s">
        <v>185</v>
      </c>
    </row>
    <row r="16" customFormat="false" ht="35.05" hidden="false" customHeight="false" outlineLevel="0" collapsed="false">
      <c r="A16" s="5" t="n">
        <v>96</v>
      </c>
      <c r="B16" s="5" t="s">
        <v>98</v>
      </c>
      <c r="C16" s="6" t="s">
        <v>112</v>
      </c>
      <c r="D16" s="7" t="s">
        <v>113</v>
      </c>
      <c r="E16" s="5" t="s">
        <v>56</v>
      </c>
      <c r="F16" s="6" t="s">
        <v>57</v>
      </c>
      <c r="G16" s="5" t="s">
        <v>55</v>
      </c>
      <c r="H16" s="5" t="s">
        <v>219</v>
      </c>
      <c r="I16" s="8" t="n">
        <v>15</v>
      </c>
      <c r="J16" s="8" t="n">
        <v>7</v>
      </c>
      <c r="K16" s="5" t="n">
        <v>0.4667</v>
      </c>
      <c r="L16" s="5" t="s">
        <v>171</v>
      </c>
      <c r="M16" s="6" t="s">
        <v>160</v>
      </c>
      <c r="N16" s="6" t="s">
        <v>161</v>
      </c>
      <c r="O16" s="5" t="s">
        <v>162</v>
      </c>
      <c r="P16" s="6" t="s">
        <v>220</v>
      </c>
      <c r="Q16" s="7" t="s">
        <v>221</v>
      </c>
      <c r="R16" s="5" t="s">
        <v>165</v>
      </c>
      <c r="S16" s="5" t="s">
        <v>222</v>
      </c>
      <c r="T16" s="5" t="s">
        <v>223</v>
      </c>
      <c r="U16" s="7" t="s">
        <v>224</v>
      </c>
    </row>
  </sheetData>
  <autoFilter ref="A1:U16"/>
  <conditionalFormatting sqref="H2:H16">
    <cfRule type="cellIs" priority="2" operator="equal" aboveAverage="0" equalAverage="0" bottom="0" percent="0" rank="0" text="" dxfId="9">
      <formula>"EXCLUIDO"</formula>
    </cfRule>
  </conditionalFormatting>
  <conditionalFormatting sqref="L2:L16">
    <cfRule type="cellIs" priority="3" operator="equal" aboveAverage="0" equalAverage="0" bottom="0" percent="0" rank="0" text="" dxfId="7">
      <formula>"si"</formula>
    </cfRule>
    <cfRule type="cellIs" priority="4" operator="equal" aboveAverage="0" equalAverage="0" bottom="0" percent="0" rank="0" text="" dxfId="9">
      <formula>"NO"</formula>
    </cfRule>
  </conditionalFormatting>
  <conditionalFormatting sqref="R2:R16">
    <cfRule type="cellIs" priority="5" operator="equal" aboveAverage="0" equalAverage="0" bottom="0" percent="0" rank="0" text="" dxfId="7">
      <formula>"SI"</formula>
    </cfRule>
    <cfRule type="cellIs" priority="6" operator="equal" aboveAverage="0" equalAverage="0" bottom="0" percent="0" rank="0" text="" dxfId="9">
      <formula>"NO"</formula>
    </cfRule>
    <cfRule type="cellIs" priority="7" operator="equal" aboveAverage="0" equalAverage="0" bottom="0" percent="0" rank="0" text="" dxfId="8">
      <formula>"PARCIAL"</formula>
    </cfRule>
  </conditionalFormatting>
  <conditionalFormatting sqref="T2:T16">
    <cfRule type="cellIs" priority="8" operator="equal" aboveAverage="0" equalAverage="0" bottom="0" percent="0" rank="0" text="" dxfId="9">
      <formula>"CORRIGE"</formula>
    </cfRule>
    <cfRule type="cellIs" priority="9" operator="equal" aboveAverage="0" equalAverage="0" bottom="0" percent="0" rank="0" text="" dxfId="7">
      <formula>"CONFIRMA"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7" min="6" style="0" width="8"/>
    <col collapsed="false" customWidth="true" hidden="false" outlineLevel="0" max="9" min="8" style="0" width="12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88"/>
  </cols>
  <sheetData>
    <row r="1" customFormat="false" ht="42" hidden="false" customHeight="true" outlineLevel="0" collapsed="false">
      <c r="A1" s="4" t="s">
        <v>20</v>
      </c>
      <c r="B1" s="4" t="s">
        <v>22</v>
      </c>
      <c r="C1" s="4" t="s">
        <v>24</v>
      </c>
      <c r="D1" s="4" t="s">
        <v>225</v>
      </c>
      <c r="E1" s="4" t="s">
        <v>226</v>
      </c>
      <c r="F1" s="4" t="s">
        <v>227</v>
      </c>
      <c r="G1" s="4" t="s">
        <v>228</v>
      </c>
      <c r="H1" s="4" t="s">
        <v>229</v>
      </c>
      <c r="I1" s="4" t="s">
        <v>230</v>
      </c>
      <c r="J1" s="4" t="s">
        <v>231</v>
      </c>
      <c r="K1" s="4" t="s">
        <v>232</v>
      </c>
      <c r="L1" s="4" t="s">
        <v>233</v>
      </c>
    </row>
    <row r="2" customFormat="false" ht="15" hidden="false" customHeight="false" outlineLevel="0" collapsed="false">
      <c r="A2" s="5" t="n">
        <v>7</v>
      </c>
      <c r="B2" s="6" t="s">
        <v>40</v>
      </c>
      <c r="C2" s="5" t="s">
        <v>42</v>
      </c>
      <c r="D2" s="6" t="s">
        <v>46</v>
      </c>
      <c r="E2" s="5" t="s">
        <v>44</v>
      </c>
      <c r="F2" s="8" t="n">
        <v>10</v>
      </c>
      <c r="G2" s="8" t="n">
        <v>7</v>
      </c>
      <c r="H2" s="6" t="s">
        <v>161</v>
      </c>
      <c r="I2" s="5" t="s">
        <v>55</v>
      </c>
      <c r="J2" s="5" t="n">
        <v>0</v>
      </c>
      <c r="K2" s="5" t="s">
        <v>159</v>
      </c>
      <c r="L2" s="7"/>
    </row>
    <row r="3" customFormat="false" ht="15" hidden="false" customHeight="false" outlineLevel="0" collapsed="false">
      <c r="A3" s="5" t="n">
        <v>7</v>
      </c>
      <c r="B3" s="6" t="s">
        <v>40</v>
      </c>
      <c r="C3" s="5" t="s">
        <v>53</v>
      </c>
      <c r="D3" s="6" t="s">
        <v>46</v>
      </c>
      <c r="E3" s="5" t="s">
        <v>55</v>
      </c>
      <c r="F3" s="8" t="n">
        <v>7</v>
      </c>
      <c r="G3" s="8" t="n">
        <v>0</v>
      </c>
      <c r="H3" s="6" t="s">
        <v>161</v>
      </c>
      <c r="I3" s="5" t="s">
        <v>55</v>
      </c>
      <c r="J3" s="5" t="n">
        <v>1</v>
      </c>
      <c r="K3" s="5" t="s">
        <v>159</v>
      </c>
      <c r="L3" s="7"/>
    </row>
    <row r="4" customFormat="false" ht="15" hidden="false" customHeight="false" outlineLevel="0" collapsed="false">
      <c r="A4" s="5" t="n">
        <v>7</v>
      </c>
      <c r="B4" s="6" t="s">
        <v>40</v>
      </c>
      <c r="C4" s="5" t="s">
        <v>56</v>
      </c>
      <c r="D4" s="6" t="s">
        <v>46</v>
      </c>
      <c r="E4" s="5" t="s">
        <v>55</v>
      </c>
      <c r="F4" s="8" t="n">
        <v>9</v>
      </c>
      <c r="G4" s="8" t="n">
        <v>0</v>
      </c>
      <c r="H4" s="6" t="s">
        <v>161</v>
      </c>
      <c r="I4" s="5" t="s">
        <v>55</v>
      </c>
      <c r="J4" s="5" t="n">
        <v>1</v>
      </c>
      <c r="K4" s="5" t="s">
        <v>159</v>
      </c>
      <c r="L4" s="7"/>
    </row>
    <row r="5" customFormat="false" ht="15" hidden="false" customHeight="false" outlineLevel="0" collapsed="false">
      <c r="A5" s="5" t="n">
        <v>14</v>
      </c>
      <c r="B5" s="6" t="s">
        <v>58</v>
      </c>
      <c r="C5" s="5" t="s">
        <v>42</v>
      </c>
      <c r="D5" s="6" t="s">
        <v>46</v>
      </c>
      <c r="E5" s="5" t="s">
        <v>55</v>
      </c>
      <c r="F5" s="8" t="n">
        <v>5</v>
      </c>
      <c r="G5" s="8" t="n">
        <v>0</v>
      </c>
      <c r="H5" s="6" t="s">
        <v>161</v>
      </c>
      <c r="I5" s="5" t="s">
        <v>44</v>
      </c>
      <c r="J5" s="5" t="n">
        <v>0</v>
      </c>
      <c r="K5" s="5" t="s">
        <v>159</v>
      </c>
      <c r="L5" s="7"/>
    </row>
    <row r="6" customFormat="false" ht="15" hidden="false" customHeight="false" outlineLevel="0" collapsed="false">
      <c r="A6" s="5" t="n">
        <v>14</v>
      </c>
      <c r="B6" s="6" t="s">
        <v>58</v>
      </c>
      <c r="C6" s="5" t="s">
        <v>53</v>
      </c>
      <c r="D6" s="6" t="s">
        <v>46</v>
      </c>
      <c r="E6" s="5" t="s">
        <v>55</v>
      </c>
      <c r="F6" s="8" t="n">
        <v>4</v>
      </c>
      <c r="G6" s="8" t="n">
        <v>0</v>
      </c>
      <c r="H6" s="6" t="s">
        <v>161</v>
      </c>
      <c r="I6" s="5" t="s">
        <v>55</v>
      </c>
      <c r="J6" s="5" t="n">
        <v>1</v>
      </c>
      <c r="K6" s="5" t="s">
        <v>159</v>
      </c>
      <c r="L6" s="7"/>
    </row>
    <row r="7" customFormat="false" ht="15" hidden="false" customHeight="false" outlineLevel="0" collapsed="false">
      <c r="A7" s="5" t="n">
        <v>14</v>
      </c>
      <c r="B7" s="6" t="s">
        <v>58</v>
      </c>
      <c r="C7" s="5" t="s">
        <v>56</v>
      </c>
      <c r="D7" s="6" t="s">
        <v>46</v>
      </c>
      <c r="E7" s="5" t="s">
        <v>63</v>
      </c>
      <c r="F7" s="8" t="n">
        <v>16</v>
      </c>
      <c r="G7" s="8" t="n">
        <v>2</v>
      </c>
      <c r="H7" s="6" t="s">
        <v>161</v>
      </c>
      <c r="I7" s="5" t="s">
        <v>55</v>
      </c>
      <c r="J7" s="5" t="n">
        <v>0</v>
      </c>
      <c r="K7" s="5" t="s">
        <v>159</v>
      </c>
      <c r="L7" s="7"/>
    </row>
    <row r="8" customFormat="false" ht="15" hidden="false" customHeight="false" outlineLevel="0" collapsed="false">
      <c r="A8" s="5" t="n">
        <v>83</v>
      </c>
      <c r="B8" s="6" t="s">
        <v>99</v>
      </c>
      <c r="C8" s="5" t="s">
        <v>42</v>
      </c>
      <c r="D8" s="6" t="s">
        <v>102</v>
      </c>
      <c r="E8" s="5" t="s">
        <v>44</v>
      </c>
      <c r="F8" s="8" t="n">
        <v>27</v>
      </c>
      <c r="G8" s="8" t="n">
        <v>6</v>
      </c>
      <c r="H8" s="6" t="s">
        <v>161</v>
      </c>
      <c r="I8" s="5" t="s">
        <v>44</v>
      </c>
      <c r="J8" s="5" t="n">
        <v>1</v>
      </c>
      <c r="K8" s="5" t="s">
        <v>159</v>
      </c>
      <c r="L8" s="7"/>
    </row>
    <row r="9" customFormat="false" ht="15" hidden="false" customHeight="false" outlineLevel="0" collapsed="false">
      <c r="A9" s="5" t="n">
        <v>83</v>
      </c>
      <c r="B9" s="6" t="s">
        <v>99</v>
      </c>
      <c r="C9" s="5" t="s">
        <v>53</v>
      </c>
      <c r="D9" s="6" t="s">
        <v>102</v>
      </c>
      <c r="E9" s="5" t="s">
        <v>63</v>
      </c>
      <c r="F9" s="8" t="n">
        <v>18</v>
      </c>
      <c r="G9" s="8" t="n">
        <v>1</v>
      </c>
      <c r="H9" s="6" t="s">
        <v>161</v>
      </c>
      <c r="I9" s="5" t="s">
        <v>63</v>
      </c>
      <c r="J9" s="5" t="n">
        <v>1</v>
      </c>
      <c r="K9" s="5" t="s">
        <v>159</v>
      </c>
      <c r="L9" s="7"/>
    </row>
    <row r="10" customFormat="false" ht="15" hidden="false" customHeight="false" outlineLevel="0" collapsed="false">
      <c r="A10" s="5" t="n">
        <v>83</v>
      </c>
      <c r="B10" s="6" t="s">
        <v>99</v>
      </c>
      <c r="C10" s="5" t="s">
        <v>56</v>
      </c>
      <c r="D10" s="6" t="s">
        <v>102</v>
      </c>
      <c r="E10" s="5" t="s">
        <v>44</v>
      </c>
      <c r="F10" s="8" t="n">
        <v>25</v>
      </c>
      <c r="G10" s="8" t="n">
        <v>8</v>
      </c>
      <c r="H10" s="6" t="s">
        <v>161</v>
      </c>
      <c r="I10" s="5" t="s">
        <v>44</v>
      </c>
      <c r="J10" s="5" t="n">
        <v>1</v>
      </c>
      <c r="K10" s="5" t="s">
        <v>159</v>
      </c>
      <c r="L10" s="7"/>
    </row>
    <row r="11" customFormat="false" ht="15" hidden="false" customHeight="false" outlineLevel="0" collapsed="false">
      <c r="A11" s="5" t="n">
        <v>95</v>
      </c>
      <c r="B11" s="6" t="s">
        <v>107</v>
      </c>
      <c r="C11" s="5" t="s">
        <v>42</v>
      </c>
      <c r="D11" s="6" t="s">
        <v>83</v>
      </c>
      <c r="E11" s="5" t="s">
        <v>44</v>
      </c>
      <c r="F11" s="8" t="n">
        <v>17</v>
      </c>
      <c r="G11" s="8" t="n">
        <v>7</v>
      </c>
      <c r="H11" s="6" t="s">
        <v>161</v>
      </c>
      <c r="I11" s="5" t="s">
        <v>44</v>
      </c>
      <c r="J11" s="5" t="n">
        <v>1</v>
      </c>
      <c r="K11" s="5" t="s">
        <v>159</v>
      </c>
      <c r="L11" s="7"/>
    </row>
    <row r="12" customFormat="false" ht="15" hidden="false" customHeight="false" outlineLevel="0" collapsed="false">
      <c r="A12" s="5" t="n">
        <v>95</v>
      </c>
      <c r="B12" s="6" t="s">
        <v>107</v>
      </c>
      <c r="C12" s="5" t="s">
        <v>53</v>
      </c>
      <c r="D12" s="6" t="s">
        <v>83</v>
      </c>
      <c r="E12" s="5" t="s">
        <v>55</v>
      </c>
      <c r="F12" s="8" t="n">
        <v>25</v>
      </c>
      <c r="G12" s="8" t="n">
        <v>0</v>
      </c>
      <c r="H12" s="6" t="s">
        <v>161</v>
      </c>
      <c r="I12" s="5" t="s">
        <v>55</v>
      </c>
      <c r="J12" s="5" t="n">
        <v>1</v>
      </c>
      <c r="K12" s="5" t="s">
        <v>159</v>
      </c>
      <c r="L12" s="7"/>
    </row>
    <row r="13" customFormat="false" ht="15" hidden="false" customHeight="false" outlineLevel="0" collapsed="false">
      <c r="A13" s="5" t="n">
        <v>95</v>
      </c>
      <c r="B13" s="6" t="s">
        <v>107</v>
      </c>
      <c r="C13" s="5" t="s">
        <v>56</v>
      </c>
      <c r="D13" s="6" t="s">
        <v>83</v>
      </c>
      <c r="E13" s="5" t="s">
        <v>55</v>
      </c>
      <c r="F13" s="8" t="n">
        <v>25</v>
      </c>
      <c r="G13" s="8" t="n">
        <v>0</v>
      </c>
      <c r="H13" s="6" t="s">
        <v>161</v>
      </c>
      <c r="I13" s="5" t="s">
        <v>55</v>
      </c>
      <c r="J13" s="5" t="n">
        <v>1</v>
      </c>
      <c r="K13" s="5" t="s">
        <v>159</v>
      </c>
      <c r="L13" s="7"/>
    </row>
    <row r="14" customFormat="false" ht="15" hidden="false" customHeight="false" outlineLevel="0" collapsed="false">
      <c r="A14" s="5" t="n">
        <v>96</v>
      </c>
      <c r="B14" s="6" t="s">
        <v>112</v>
      </c>
      <c r="C14" s="5" t="s">
        <v>42</v>
      </c>
      <c r="D14" s="6" t="s">
        <v>115</v>
      </c>
      <c r="E14" s="5" t="s">
        <v>44</v>
      </c>
      <c r="F14" s="8" t="n">
        <v>7</v>
      </c>
      <c r="G14" s="8" t="n">
        <v>2</v>
      </c>
      <c r="H14" s="6" t="s">
        <v>161</v>
      </c>
      <c r="I14" s="5" t="s">
        <v>44</v>
      </c>
      <c r="J14" s="5" t="n">
        <v>1</v>
      </c>
      <c r="K14" s="5" t="s">
        <v>159</v>
      </c>
      <c r="L14" s="7"/>
    </row>
    <row r="15" customFormat="false" ht="15" hidden="false" customHeight="false" outlineLevel="0" collapsed="false">
      <c r="A15" s="5" t="n">
        <v>96</v>
      </c>
      <c r="B15" s="6" t="s">
        <v>112</v>
      </c>
      <c r="C15" s="5" t="s">
        <v>53</v>
      </c>
      <c r="D15" s="6" t="s">
        <v>115</v>
      </c>
      <c r="E15" s="5" t="s">
        <v>44</v>
      </c>
      <c r="F15" s="8" t="n">
        <v>16</v>
      </c>
      <c r="G15" s="8" t="n">
        <v>4</v>
      </c>
      <c r="H15" s="6" t="s">
        <v>161</v>
      </c>
      <c r="I15" s="5" t="s">
        <v>55</v>
      </c>
      <c r="J15" s="5" t="n">
        <v>0</v>
      </c>
      <c r="K15" s="5" t="s">
        <v>159</v>
      </c>
      <c r="L15" s="7"/>
    </row>
    <row r="16" customFormat="false" ht="23.85" hidden="false" customHeight="false" outlineLevel="0" collapsed="false">
      <c r="A16" s="5" t="n">
        <v>96</v>
      </c>
      <c r="B16" s="6" t="s">
        <v>112</v>
      </c>
      <c r="C16" s="5" t="s">
        <v>56</v>
      </c>
      <c r="D16" s="6" t="s">
        <v>115</v>
      </c>
      <c r="E16" s="5" t="s">
        <v>63</v>
      </c>
      <c r="F16" s="8" t="n">
        <v>18</v>
      </c>
      <c r="G16" s="8" t="n">
        <v>2</v>
      </c>
      <c r="H16" s="6" t="s">
        <v>161</v>
      </c>
      <c r="I16" s="5" t="s">
        <v>55</v>
      </c>
      <c r="J16" s="5"/>
      <c r="K16" s="5" t="s">
        <v>234</v>
      </c>
      <c r="L16" s="7" t="s">
        <v>235</v>
      </c>
    </row>
    <row r="18" customFormat="false" ht="15" hidden="false" customHeight="false" outlineLevel="0" collapsed="false">
      <c r="B18" s="10" t="s">
        <v>236</v>
      </c>
      <c r="E18" s="11" t="n">
        <f aca="false">COUNTIF(K2:K16,"si")</f>
        <v>14</v>
      </c>
    </row>
    <row r="19" customFormat="false" ht="15" hidden="false" customHeight="false" outlineLevel="0" collapsed="false">
      <c r="B19" s="10" t="s">
        <v>237</v>
      </c>
      <c r="E19" s="11" t="n">
        <f aca="false">SUM(J2:J16)</f>
        <v>10</v>
      </c>
    </row>
    <row r="20" customFormat="false" ht="15" hidden="false" customHeight="false" outlineLevel="0" collapsed="false">
      <c r="B20" s="12" t="s">
        <v>238</v>
      </c>
      <c r="E20" s="13" t="n">
        <f aca="false">SUM(J2:J16)/COUNTIF(K2:K16,"si")</f>
        <v>0.714285714285714</v>
      </c>
    </row>
    <row r="21" customFormat="false" ht="15" hidden="false" customHeight="false" outlineLevel="0" collapsed="false">
      <c r="B21" s="10" t="s">
        <v>239</v>
      </c>
      <c r="E21" s="11" t="n">
        <f aca="false">COUNTIFS(E2:E16,"0",K2:K16,"si")</f>
        <v>6</v>
      </c>
    </row>
    <row r="22" customFormat="false" ht="15" hidden="false" customHeight="false" outlineLevel="0" collapsed="false">
      <c r="B22" s="10" t="s">
        <v>240</v>
      </c>
      <c r="E22" s="11" t="n">
        <f aca="false">COUNTIFS(E2:E16,"P",K2:K16,"si")</f>
        <v>2</v>
      </c>
    </row>
    <row r="23" customFormat="false" ht="15" hidden="false" customHeight="false" outlineLevel="0" collapsed="false">
      <c r="B23" s="10" t="s">
        <v>241</v>
      </c>
      <c r="E23" s="11" t="n">
        <f aca="false">COUNTIFS(E2:E16,"1",K2:K16,"si")</f>
        <v>6</v>
      </c>
    </row>
    <row r="24" customFormat="false" ht="15" hidden="false" customHeight="false" outlineLevel="0" collapsed="false">
      <c r="B24" s="10" t="s">
        <v>242</v>
      </c>
      <c r="E24" s="11" t="n">
        <f aca="false">COUNTIFS(I2:I16,"0",K2:K16,"si")</f>
        <v>5</v>
      </c>
    </row>
    <row r="25" customFormat="false" ht="15" hidden="false" customHeight="false" outlineLevel="0" collapsed="false">
      <c r="B25" s="10" t="s">
        <v>243</v>
      </c>
      <c r="E25" s="11" t="n">
        <f aca="false">COUNTIFS(I2:I16,"P",K2:K16,"si")</f>
        <v>1</v>
      </c>
    </row>
    <row r="26" customFormat="false" ht="15" hidden="false" customHeight="false" outlineLevel="0" collapsed="false">
      <c r="B26" s="10" t="s">
        <v>244</v>
      </c>
      <c r="E26" s="11" t="n">
        <f aca="false">COUNTIFS(I2:I16,"1",K2:K16,"si")</f>
        <v>8</v>
      </c>
    </row>
    <row r="27" customFormat="false" ht="15" hidden="false" customHeight="false" outlineLevel="0" collapsed="false">
      <c r="B27" s="12" t="s">
        <v>245</v>
      </c>
      <c r="E27" s="13" t="n">
        <f aca="false">(E21*E24+E22*E25+E23*E26)/(E18*E18)</f>
        <v>0.408163265306122</v>
      </c>
    </row>
    <row r="28" customFormat="false" ht="15" hidden="false" customHeight="false" outlineLevel="0" collapsed="false">
      <c r="B28" s="12" t="s">
        <v>246</v>
      </c>
      <c r="E28" s="13" t="n">
        <f aca="false">(E20-E27)/(1-E27)</f>
        <v>0.517241379310345</v>
      </c>
      <c r="F28" s="14" t="s">
        <v>247</v>
      </c>
    </row>
  </sheetData>
  <autoFilter ref="A1:L28"/>
  <conditionalFormatting sqref="J2:J16">
    <cfRule type="cellIs" priority="2" operator="equal" aboveAverage="0" equalAverage="0" bottom="0" percent="0" rank="0" text="" dxfId="7">
      <formula>1</formula>
    </cfRule>
    <cfRule type="cellIs" priority="3" operator="equal" aboveAverage="0" equalAverage="0" bottom="0" percent="0" rank="0" text="" dxfId="9">
      <formula>0</formula>
    </cfRule>
  </conditionalFormatting>
  <conditionalFormatting sqref="K2:K16">
    <cfRule type="cellIs" priority="4" operator="equal" aboveAverage="0" equalAverage="0" bottom="0" percent="0" rank="0" text="" dxfId="9">
      <formula>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2026-09-01T13:02:15Z</dcterms:created>
  <dc:creator>openpyxl</dc:creator>
  <dc:description/>
  <dc:language>en-US</dc:language>
  <cp:lastModifiedBy/>
  <dcterms:modified xsi:type="dcterms:W3CDTF">2026-09-01T13:02:15Z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