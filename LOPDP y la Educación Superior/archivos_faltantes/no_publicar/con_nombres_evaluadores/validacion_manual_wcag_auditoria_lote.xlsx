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ctura" sheetId="1" state="visible" r:id="rId3"/>
    <sheet name="Consolidado" sheetId="2" state="visible" r:id="rId4"/>
    <sheet name="Seleccion_final" sheetId="3" state="visible" r:id="rId5"/>
    <sheet name="Discrepancias" sheetId="4" state="visible" r:id="rId6"/>
    <sheet name="Auditoria_evaluadores" sheetId="5" state="visible" r:id="rId7"/>
    <sheet name="Cobertura" sheetId="6" state="visible" r:id="rId8"/>
    <sheet name="Doble_evaluacion" sheetId="7" state="visible" r:id="rId9"/>
    <sheet name="Kappa" sheetId="8" state="visible" r:id="rId10"/>
    <sheet name="Correccion_doble" sheetId="9" state="visible" r:id="rId11"/>
  </sheets>
  <definedNames>
    <definedName function="false" hidden="true" localSheetId="1" name="_xlnm._FilterDatabase" vbProcedure="false">Consolidado!$A$1:$AD$27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<sst xmlns="http://schemas.openxmlformats.org/spreadsheetml/2006/main" count="1478" uniqueCount="478">
  <si>
    <t xml:space="preserve">Validacion manual de accesibilidad WCAG - auditoria del lote entregado (corte 1 de septiembre de 2026)</t>
  </si>
  <si>
    <t xml:space="preserve">Submuestra: 15 sitios x 3 criterios (1.1.1 contenido no textual, 1.4.3 contraste minimo AA, 2.4.4 proposito del enlace).</t>
  </si>
  <si>
    <t xml:space="preserve">Entregas auditadas: 12 archivos de 10 evaluadores. EvidenciasFB.rar y validacion_manual_accesibilidad_seis.rar son el mismo archivo (md5 identico).</t>
  </si>
  <si>
    <t xml:space="preserve">Con la entrega de Andrea los 5 sitios de control (7, 14, 83, 95, 96) tienen por primera vez primera y segunda evaluacion, es decir los 15 juicios pareados completos.</t>
  </si>
  <si>
    <t xml:space="preserve">Con las entregas de Taipe y Rios la submuestra queda cubierta al completo: los 15 sitios tienen al menos una evaluacion, y Berkeley y UPS pasan a tener dos evaluaciones independientes.</t>
  </si>
  <si>
    <t xml:space="preserve">Regla de codificacion aplicada (seccion 6 del manual):  1 = cumple (f=0)   P = parcial (f/n &lt;= 0,20)   0 = no cumple (f/n &gt; 0,20).</t>
  </si>
  <si>
    <t xml:space="preserve">Hojas de este libro:</t>
  </si>
  <si>
    <t xml:space="preserve">  Consolidado            Una fila por evaluador y sitio, con los n y f declarados, el codigo esperado que se deriva de ellos y el dictamen.</t>
  </si>
  <si>
    <t xml:space="preserve">  Seleccion_final        Una fila por sitio: el evaluador retenido, sus codigos y el motivo de la eleccion.</t>
  </si>
  <si>
    <t xml:space="preserve">  Discrepancias          Los siete sitios con mas de un evaluador, criterio a criterio.</t>
  </si>
  <si>
    <t xml:space="preserve">  Auditoria_evaluadores  Un informe por persona: cobertura, evidencia, configuracion, incidencias y fiabilidad.</t>
  </si>
  <si>
    <t xml:space="preserve">  Cobertura              Estado de los 15 sitios de la submuestra.</t>
  </si>
  <si>
    <t xml:space="preserve">  Doble_evaluacion       Los 15 juicios de la segunda persona evaluadora sobre los 5 sitios de control, con la auditoria de cada captura.</t>
  </si>
  <si>
    <t xml:space="preserve">  Kappa                  Los 15 juicios pareados y el calculo de la kappa de Cohen.</t>
  </si>
  <si>
    <t xml:space="preserve">  Correccion_doble       Celda a celda, que demuestra cada captura de la segunda evaluacion y que codigo admite correccion con su propia evidencia.</t>
  </si>
  <si>
    <t xml:space="preserve">Convenio de color: el texto azul son datos tomados literalmente de las entregas; el texto negro es calculado por formula en la propia hoja.</t>
  </si>
  <si>
    <t xml:space="preserve">Verde = codigo declarado coherente con n/f.  Rojo = incoherente o imposible.  Ambar = coherente pero con reserva de metodo o de fondo.</t>
  </si>
  <si>
    <t xml:space="preserve">Comprobaciones en vivo realizadas el 1 de septiembre de 2026 sobre el HTML publicado (curl, sin ejecucion de JavaScript):</t>
  </si>
  <si>
    <t xml:space="preserve">  northwestern.edu   35 img, ninguna sin atributo alt y ninguna con alt vacio.</t>
  </si>
  <si>
    <t xml:space="preserve">  ulvr.edu.ec        12 img, las 12 con alt vacio, incluido logo_mini.png en el enlace de inicio.</t>
  </si>
  <si>
    <t xml:space="preserve">  iaen.edu.ec        19 img, 7 con alt vacio; aria-label 'ChatGPT Image 24 jun 2026, 10_44_26 a.m.' y 'Firefly_Gemini Flash_el pesanador un poco mas pequeno 140699'.</t>
  </si>
  <si>
    <t xml:space="preserve">  indoamerica.edu.ec 53 img, 46 con alt vacio y 2 sin atributo alt.</t>
  </si>
  <si>
    <t xml:space="preserve">  usecipol.edu.ec    15 img, ninguna con alt vacio ni sin atributo alt.</t>
  </si>
  <si>
    <t xml:space="preserve">  berkeley.edu       21 img, 12 con alt vacio; lib.berkeley.edu aparece dos veces, lo que confirma el par de enlaces 'Libraries' de igual proposito.</t>
  </si>
  <si>
    <t xml:space="preserve">  nus.edu.sg         no verificable sin ejecutar JavaScript (la respuesta HTML es de 205 bytes).</t>
  </si>
  <si>
    <t xml:space="preserve">  utpl.edu.ec        no verificable: aplicacion de una sola pagina que exige JavaScript (1 087 bytes de respuesta).</t>
  </si>
  <si>
    <t xml:space="preserve">  unesum.edu.ec      no verificable: el servidor rechaza la peticion sin navegador (121 bytes de respuesta).</t>
  </si>
  <si>
    <t xml:space="preserve">Las comprobaciones en vivo son del 1 de septiembre; las evaluaciones son del 17 al 28 de agosto. Un sitio pudo cambiar en ese intervalo, de modo que sirven para respaldar o poner en duda un hallazgo, no para cerrarlo por si solas.</t>
  </si>
  <si>
    <t xml:space="preserve">id</t>
  </si>
  <si>
    <t xml:space="preserve">grupo</t>
  </si>
  <si>
    <t xml:space="preserve">sigla</t>
  </si>
  <si>
    <t xml:space="preserve">evaluador</t>
  </si>
  <si>
    <t xml:space="preserve">nombre completo</t>
  </si>
  <si>
    <t xml:space="preserve">fecha decl.</t>
  </si>
  <si>
    <t xml:space="preserve">inicio</t>
  </si>
  <si>
    <t xml:space="preserve">fin</t>
  </si>
  <si>
    <t xml:space="preserve">zoom / config.</t>
  </si>
  <si>
    <t xml:space="preserve">1.1.1 cod.</t>
  </si>
  <si>
    <t xml:space="preserve">n</t>
  </si>
  <si>
    <t xml:space="preserve">f</t>
  </si>
  <si>
    <t xml:space="preserve">f/n</t>
  </si>
  <si>
    <t xml:space="preserve">esperado</t>
  </si>
  <si>
    <t xml:space="preserve">coherente</t>
  </si>
  <si>
    <t xml:space="preserve">1.4.3 cod.</t>
  </si>
  <si>
    <t xml:space="preserve">2.4.4 cod.</t>
  </si>
  <si>
    <t xml:space="preserve">capturas</t>
  </si>
  <si>
    <t xml:space="preserve">dictamen tecnico</t>
  </si>
  <si>
    <t xml:space="preserve">archivo de origen</t>
  </si>
  <si>
    <t xml:space="preserve">mundo</t>
  </si>
  <si>
    <t xml:space="preserve">UC Berkeley</t>
  </si>
  <si>
    <t xml:space="preserve">CALLE</t>
  </si>
  <si>
    <t xml:space="preserve">Calle Delgado Kamila Annabella</t>
  </si>
  <si>
    <t xml:space="preserve">2026-08-27</t>
  </si>
  <si>
    <t xml:space="preserve">19:01</t>
  </si>
  <si>
    <t xml:space="preserve">19:55</t>
  </si>
  <si>
    <t xml:space="preserve">&lt;100 % (declarado)</t>
  </si>
  <si>
    <t xml:space="preserve">0</t>
  </si>
  <si>
    <t xml:space="preserve">1</t>
  </si>
  <si>
    <t xml:space="preserve">Informe PDF de 15 paginas con tabla n/f por criterio y una captura por criterio y sitio. Coincide con el dictamen previo del sitio (1.1.1=0 confirmado, 2.4.4=1 tras descartar enlaces identicos de igual proposito).</t>
  </si>
  <si>
    <t xml:space="preserve">validacion_manual_accesibilidad_calle.zip</t>
  </si>
  <si>
    <t xml:space="preserve">UCL</t>
  </si>
  <si>
    <t xml:space="preserve">20:13</t>
  </si>
  <si>
    <t xml:space="preserve">20:48</t>
  </si>
  <si>
    <t xml:space="preserve">P</t>
  </si>
  <si>
    <t xml:space="preserve">Coincide con el dictamen previo de UCL (1.1.1=1 aplicando la regla de redundancia H2; 1.4.3 f=0; 2.4.4=P).</t>
  </si>
  <si>
    <t xml:space="preserve">Cornell</t>
  </si>
  <si>
    <t xml:space="preserve">20:54</t>
  </si>
  <si>
    <t xml:space="preserve">21:26</t>
  </si>
  <si>
    <t xml:space="preserve">Identifica el alt vacio de la seccion honeycomb y el CTA 'Keep reading' repetido con diez href distintos, verificado con el buscador de Elements.</t>
  </si>
  <si>
    <t xml:space="preserve">NUS</t>
  </si>
  <si>
    <t xml:space="preserve">21:33</t>
  </si>
  <si>
    <t xml:space="preserve">22:24</t>
  </si>
  <si>
    <t xml:space="preserve">n=3 en 1.4.3 es el tamano muestral mas bajo del lote. Da por valida la tecnica title en img con alt vacio, lo que ACCNAME no respalda; ver evidencia de Figueroa para los iconos del pie.</t>
  </si>
  <si>
    <t xml:space="preserve">Northwestern</t>
  </si>
  <si>
    <t xml:space="preserve">22:40</t>
  </si>
  <si>
    <t xml:space="preserve">23:28</t>
  </si>
  <si>
    <t xml:space="preserve">Comprobado en vivo el 2026-09-01: 35 img en portada, ninguna sin alt ni con alt vacio. Respalda el codigo 1 frente a los codigos 0 de Beltran y Pallo.</t>
  </si>
  <si>
    <t xml:space="preserve">BELTRAN</t>
  </si>
  <si>
    <t xml:space="preserve">Beltran Montiel Fred Adrian</t>
  </si>
  <si>
    <t xml:space="preserve">2026-08-17</t>
  </si>
  <si>
    <t xml:space="preserve">10:00</t>
  </si>
  <si>
    <t xml:space="preserve">10:30</t>
  </si>
  <si>
    <t xml:space="preserve">100 %</t>
  </si>
  <si>
    <t xml:space="preserve">f=18/25 en 1.1.1 procede de contar alt que describe la imagen y no el destino: error de constructo n.1 del informe de consolidacion. Comprobacion en vivo: ninguna img sin alt.</t>
  </si>
  <si>
    <t xml:space="preserve">EvidenciasFB.rar / validacion_manual_accesibilidad_seis.rar</t>
  </si>
  <si>
    <t xml:space="preserve">Manchester</t>
  </si>
  <si>
    <t xml:space="preserve">10:56</t>
  </si>
  <si>
    <t xml:space="preserve">Unico evaluador de Manchester. Capturas con el recuadro de relacion de contraste de Chrome (5.57:1, AA 4.5 correcto) a 1280x720 y zoom 100 %.</t>
  </si>
  <si>
    <t xml:space="preserve">ecuador</t>
  </si>
  <si>
    <t xml:space="preserve">USECIPOL</t>
  </si>
  <si>
    <t xml:space="preserve">13:30</t>
  </si>
  <si>
    <t xml:space="preserve">13:55</t>
  </si>
  <si>
    <t xml:space="preserve">Evidencia 1.1.1 solida: img de patron con alt='Patron decorativo' resaltada en Elements. El 1.4.3=1 repite el f=0 ya corregido a P en el dictamen previo de USECIPOL.</t>
  </si>
  <si>
    <t xml:space="preserve">PALLO</t>
  </si>
  <si>
    <t xml:space="preserve">Pallo Pinto Daniel Alejandro</t>
  </si>
  <si>
    <t xml:space="preserve">09:45</t>
  </si>
  <si>
    <t xml:space="preserve">10:15</t>
  </si>
  <si>
    <t xml:space="preserve">Mismo error de constructo que Beltran en 1.1.1: su propia captura muestra alt='purple gloved hands pouring a solution into a glass bottle', es decir alternativa real.</t>
  </si>
  <si>
    <t xml:space="preserve">validacion_manual_accesibilidad_pallo.xlsx + anexo_evidencia_pallo.pdf</t>
  </si>
  <si>
    <t xml:space="preserve">IAEN</t>
  </si>
  <si>
    <t xml:space="preserve">10:50</t>
  </si>
  <si>
    <t xml:space="preserve">Comprobado en vivo el 2026-09-01: la portada declara aria-label 'ChatGPT Image 24 jun 2026, 10_44_26 a.m.' y 'Firefly_Gemini Flash...140699'. El 2.02:1 sobre rgb(110,193,228)=#6EC1E4 coincide con el dictamen previo de IAEN. Su 2.4.4=P subestima frente a f=19/26 de Panama.</t>
  </si>
  <si>
    <t xml:space="preserve">ULVR</t>
  </si>
  <si>
    <t xml:space="preserve">11:15</t>
  </si>
  <si>
    <t xml:space="preserve">Comprobado en vivo: las 12 img de la portada llevan alt vacio, incluido logo_mini.png. Confirma f=1 y refuta el f=0 de Panama. Panel de Accesibilidad con Name='' en la tarjeta GRADO.</t>
  </si>
  <si>
    <t xml:space="preserve">PANAMA</t>
  </si>
  <si>
    <t xml:space="preserve">Panama Murillo Moises Antonio</t>
  </si>
  <si>
    <t xml:space="preserve">2026-08-21</t>
  </si>
  <si>
    <t xml:space="preserve">22:00</t>
  </si>
  <si>
    <t xml:space="preserve">23:30</t>
  </si>
  <si>
    <t xml:space="preserve">1280x720, incognito</t>
  </si>
  <si>
    <t xml:space="preserve">Capturas con el tooltip de accesibilidad (Name/Role) y seleccion por consola inspect(document.querySelectorAll('img')[n]), coherente con el orden de documento. Marca horaria de las capturas concordante con lo declarado.</t>
  </si>
  <si>
    <t xml:space="preserve">validacion_manual_accesibilidad_panama.xlsx</t>
  </si>
  <si>
    <t xml:space="preserve">19:00</t>
  </si>
  <si>
    <t xml:space="preserve">19:30</t>
  </si>
  <si>
    <t xml:space="preserve">El 1.1.1=1 queda refutado en vivo: logo_mini.png con alt vacio como unico contenido del enlace de inicio.</t>
  </si>
  <si>
    <t xml:space="preserve">UPS</t>
  </si>
  <si>
    <t xml:space="preserve">CRUZ</t>
  </si>
  <si>
    <t xml:space="preserve">Cruz Perez Justyn Keith</t>
  </si>
  <si>
    <t xml:space="preserve">10:11</t>
  </si>
  <si>
    <t xml:space="preserve">10:25</t>
  </si>
  <si>
    <t xml:space="preserve">Unico evaluador de UPS. Configuracion correcta y captura con tooltip de accesibilidad (Name vacio) sobre img alt vacio del slider. Aporta 1 de las 3 capturas exigidas por la seccion 6.1; la marca horaria de la captura (28/08 04:30) no concuerda con la fecha declarada.</t>
  </si>
  <si>
    <t xml:space="preserve">validacion_manual_accesibilidad_cruz.zip</t>
  </si>
  <si>
    <t xml:space="preserve">UTI</t>
  </si>
  <si>
    <t xml:space="preserve">10:35</t>
  </si>
  <si>
    <t xml:space="preserve">Comprobado en vivo: 53 img, 46 con alt vacio y 2 sin atributo alt, lo que respalda el codigo 0 y refuta la P de Tejada. Su 2.4.4=1 queda en disputa frente a los enlaces sin nombre accesible documentados por Tejada.</t>
  </si>
  <si>
    <t xml:space="preserve">FIGUEROA</t>
  </si>
  <si>
    <t xml:space="preserve">Figueroa Morales Bryan Javier</t>
  </si>
  <si>
    <t xml:space="preserve">2026-08-24</t>
  </si>
  <si>
    <t xml:space="preserve">21:45</t>
  </si>
  <si>
    <t xml:space="preserve">23:00</t>
  </si>
  <si>
    <t xml:space="preserve">50 %</t>
  </si>
  <si>
    <t xml:space="preserve">Dos incoherencias: f/n=0,08 en 1.1.1 corresponde a P y no a 0; y su propia captura de contraste marca 2,74:1 con AA 4,5 no superado mientras codifica 1.4.3=1 con f=0.</t>
  </si>
  <si>
    <t xml:space="preserve">validacion_manual_accesibilidad_figueroa.xlsx</t>
  </si>
  <si>
    <t xml:space="preserve">01:00</t>
  </si>
  <si>
    <t xml:space="preserve">f/n=0,72 en 1.4.3 corresponde a 0 y no a P. La evidencia de fondo es buena (iconos del pie con alt vacio dentro de enlaces sin texto) y debe conservarse aunque no se adopte la fila.</t>
  </si>
  <si>
    <t xml:space="preserve">CARVAJAL</t>
  </si>
  <si>
    <t xml:space="preserve">Carvajal Loor Johan Stalin</t>
  </si>
  <si>
    <t xml:space="preserve">23:38</t>
  </si>
  <si>
    <t xml:space="preserve">00:00</t>
  </si>
  <si>
    <t xml:space="preserve">n/f imposible en 1.1.1 (f&gt;n). El texto 'contraste bajo en el pie' esta copiado literalmente de la fila EJEMPLO de la plantilla y contradice el propio f=0. La captura de 1.4.3 es una vista de pagina sin panel de inspeccion ni medicion.</t>
  </si>
  <si>
    <t xml:space="preserve">validacion_manual_accesibilidad_carvajal.zip</t>
  </si>
  <si>
    <t xml:space="preserve">00:05</t>
  </si>
  <si>
    <t xml:space="preserve">00:37</t>
  </si>
  <si>
    <t xml:space="preserve">n/f imposible en 1.1.1 (n=0 con f=7). Texto de la fila EJEMPLO reutilizado de nuevo. Zoom al 50 % frente al 100 % exigido y marca horaria de captura (28/08) distinta de la fecha declarada (17/08).</t>
  </si>
  <si>
    <t xml:space="preserve">TAIPE</t>
  </si>
  <si>
    <t xml:space="preserve">Taipe Mora Zaida Melissa</t>
  </si>
  <si>
    <t xml:space="preserve">09:56</t>
  </si>
  <si>
    <t xml:space="preserve">11:00</t>
  </si>
  <si>
    <t xml:space="preserve">1280x720, InPrivate, zoom 75 % visible en la captura</t>
  </si>
  <si>
    <t xml:space="preserve">Segunda evaluacion independiente de Berkeley. Coincide con Calle en el codigo de los tres criterios y en el recuento exacto de fallos de 1.1.1 (f=7). Su 2.4.4=P se apoya en los dos enlaces 'Libraries' del menu Research y del pie, que apuntan al mismo destino: enlaces de igual texto y mismo proposito cumplen 2.4.4, de modo que el codigo correcto es 1.</t>
  </si>
  <si>
    <t xml:space="preserve">validacion_manual_accesibilidad_taipe.zip</t>
  </si>
  <si>
    <t xml:space="preserve">UNESUM</t>
  </si>
  <si>
    <t xml:space="preserve">16:53</t>
  </si>
  <si>
    <t xml:space="preserve">17:35</t>
  </si>
  <si>
    <t xml:space="preserve">1280x720, InPrivate, zoom 75 %</t>
  </si>
  <si>
    <t xml:space="preserve">Unica evaluacion de UNESUM. Su propia captura de 1.4.3 muestra 3,46:1 con la marca 'AA: 3.0 correcto' y 'AAA: 4.5 no superado': es texto grande que cumple AA, asi que el unico fallo declarado no es fallo de 1.4.3 y el codigo correcto es 1. El recuento de 2.4.4 procede de un listado generado por script en la consola.</t>
  </si>
  <si>
    <t xml:space="preserve">17:49</t>
  </si>
  <si>
    <t xml:space="preserve">18:20</t>
  </si>
  <si>
    <t xml:space="preserve">Segunda evaluacion independiente de UPS. Coincide con Cruz en los tres codigos. Identifica el mismo patron que Cruz: banners del carrusel con alt vacio y onerror='toImgRota(this)'. No aporta ninguna captura de 1.4.3 pese a codificarlo P, lo que incumple la seccion 6.1.</t>
  </si>
  <si>
    <t xml:space="preserve">UTPL</t>
  </si>
  <si>
    <t xml:space="preserve">RIOS</t>
  </si>
  <si>
    <t xml:space="preserve">Rios Cuyabazo Jhon Kevin</t>
  </si>
  <si>
    <t xml:space="preserve">10:45</t>
  </si>
  <si>
    <t xml:space="preserve">11:30</t>
  </si>
  <si>
    <t xml:space="preserve">1280x720; navegador con perfil y extensiones, no incognito</t>
  </si>
  <si>
    <t xml:space="preserve">Unica evaluacion de UTPL y la unica del lote con exactamente una captura por criterio, las tres correctas: img de costos.gif sin atributo alt; etiquetas 'LUGAR' y 'MODALIDAD' en #94a3b8 a 12 px con 2,56:1 y AA 4,5 no superado; boton flotante de WhatsApp cuyo unico contenido es un svg con aria-hidden. No declara observaciones descriptivas, solo n y f.</t>
  </si>
  <si>
    <t xml:space="preserve">validacion_manual_accesibilidad_rios.zip</t>
  </si>
  <si>
    <t xml:space="preserve">HKUST</t>
  </si>
  <si>
    <t xml:space="preserve">TEJADA</t>
  </si>
  <si>
    <t xml:space="preserve">Tejada Bajana Luis Alejandro</t>
  </si>
  <si>
    <t xml:space="preserve">10:21</t>
  </si>
  <si>
    <t xml:space="preserve">Declara un unico n/f agregado (n=25 f=4) para los tres criterios, de modo que un mismo cociente 0,16 sustenta a la vez P y 0. Una captura muestra la consola con un script pegado que recorre y resalta enlaces, es decir la muestra de elementos se genero por script.</t>
  </si>
  <si>
    <t xml:space="preserve">Evaluacion_a_paginas_de_universidades_tejada.zip</t>
  </si>
  <si>
    <t xml:space="preserve">10:47</t>
  </si>
  <si>
    <t xml:space="preserve">Mismo n/f agregado (n=24 f=10, cociente 0,42): incompatible con la P declarada en 1.1.1. El hallazgo de fondo sobre enlaces de tarjeta sin nombre accesible si esta respaldado por el HTML en vivo.</t>
  </si>
  <si>
    <t xml:space="preserve">ECOTEC</t>
  </si>
  <si>
    <t xml:space="preserve">11:12</t>
  </si>
  <si>
    <t xml:space="preserve">Mismo n/f agregado (n=25 f=1): incompatible con el codigo 1 de 1.4.3, que exige f=0. El informe docx no documenta el criterio 1.4.3 de ECOTEC.</t>
  </si>
  <si>
    <t xml:space="preserve">url</t>
  </si>
  <si>
    <t xml:space="preserve">evaluador retenido</t>
  </si>
  <si>
    <t xml:space="preserve">estado</t>
  </si>
  <si>
    <t xml:space="preserve">1.1.1</t>
  </si>
  <si>
    <t xml:space="preserve">1.4.3</t>
  </si>
  <si>
    <t xml:space="preserve">2.4.4</t>
  </si>
  <si>
    <t xml:space="preserve">evaluadores descartados</t>
  </si>
  <si>
    <t xml:space="preserve">motivo de la seleccion</t>
  </si>
  <si>
    <t xml:space="preserve">https://www.berkeley.edu</t>
  </si>
  <si>
    <t xml:space="preserve">ADMITIDA</t>
  </si>
  <si>
    <t xml:space="preserve">Frente a Taipe: los dos codifican igual 1.1.1 y 1.4.3 y coinciden en f=7 para 1.1.1. Se retiene a Calle por configuracion mejor declarada y porque el 2.4.4=P de Taipe cuenta como fallo dos enlaces de igual texto y mismo proposito. Taipe queda como segunda evaluacion independiente del par.</t>
  </si>
  <si>
    <t xml:space="preserve">https://www.ucl.ac.uk</t>
  </si>
  <si>
    <t xml:space="preserve">-</t>
  </si>
  <si>
    <t xml:space="preserve">Unico evaluador del lote. Reproduce el dictamen previo de UCL en los tres criterios.</t>
  </si>
  <si>
    <t xml:space="preserve">https://www.cornell.edu</t>
  </si>
  <si>
    <t xml:space="preserve">Frente a Figueroa: codigos coherentes con n/f en los tres criterios, mientras que Figueroa codifica 0 sobre f/n=0,08 y declara 1.4.3=1 con una captura propia que marca 2,74:1.</t>
  </si>
  <si>
    <t xml:space="preserve">https://nus.edu.sg</t>
  </si>
  <si>
    <t xml:space="preserve">ADMITIDA CON RESERVA</t>
  </si>
  <si>
    <t xml:space="preserve">Frente a Figueroa: sus tres codigos son coherentes con n/f y los de Figueroa no. Reserva: n=3 en 1.4.3 e interpretacion discutible del title en img con alt vacio; incorporar la evidencia de contraste de Figueroa.</t>
  </si>
  <si>
    <t xml:space="preserve">https://www.northwestern.edu</t>
  </si>
  <si>
    <t xml:space="preserve">BELTRAN, PALLO</t>
  </si>
  <si>
    <t xml:space="preserve">Frente a Beltran y Pallo: la comprobacion en vivo (35 img, ninguna sin alt ni con alt vacio) y la regla de redundancia H2 del libro de codigos respaldan 1.1.1=1. Beltran y Pallo incurren en el error de constructo n.1.</t>
  </si>
  <si>
    <t xml:space="preserve">https://www.manchester.ac.uk</t>
  </si>
  <si>
    <t xml:space="preserve">Unico evaluador. Codigos coherentes, configuracion 1280x720 al 100 % y capturas con el recuadro de contraste de Chrome.</t>
  </si>
  <si>
    <t xml:space="preserve">https://hkust.edu.hk/</t>
  </si>
  <si>
    <t xml:space="preserve">NO ADMISIBLE</t>
  </si>
  <si>
    <t xml:space="preserve">n/f unico y agregado para los tres criterios: el cociente 0,16 no puede sostener a la vez P y 0. Requiere reenvio con n y f por criterio.</t>
  </si>
  <si>
    <t xml:space="preserve">https://unesum.edu.ec</t>
  </si>
  <si>
    <t xml:space="preserve">Unica evaluacion. Los tres codigos son coherentes con n/f. Reserva: el unico fallo de 1.4.3 es un texto grande con 3,46:1 que su propia captura marca como AA superado, de modo que el codigo deberia ser 1 y no P; ademas el zoom es del 75 % y el recuento de 2.4.4 sale de un listado por script.</t>
  </si>
  <si>
    <t xml:space="preserve">https://usecipol.edu.ec</t>
  </si>
  <si>
    <t xml:space="preserve">Frente a Carvajal, cuyo 1.1.1 declara f=7 sobre n=4. Reserva: su 1.4.3=1 repite el f=0 que el dictamen previo de USECIPOL ya corrigio a P.</t>
  </si>
  <si>
    <t xml:space="preserve">https://www.iaen.edu.ec</t>
  </si>
  <si>
    <t xml:space="preserve">CARVAJAL, PANAMA</t>
  </si>
  <si>
    <t xml:space="preserve">Frente a Panama y Carvajal. Coincide con el dictamen previo en 1.1.1 y en el 2,02:1 de 1.4.3, verificado ademas en vivo. Reserva: su 2.4.4=P subestima frente al f=19/26 de Panama y al dictamen previo, que fijo 0.</t>
  </si>
  <si>
    <t xml:space="preserve">https://www.ulvr.edu.ec</t>
  </si>
  <si>
    <t xml:space="preserve">Frente a Panama: la comprobacion en vivo confirma el alt vacio del logotipo que Pallo cuenta como fallo y Panama no. Aporta ademas el panel de Accesibilidad con Name='' en la tarjeta GRADO.</t>
  </si>
  <si>
    <t xml:space="preserve">https://www.utpl.edu.ec</t>
  </si>
  <si>
    <t xml:space="preserve">Unica evaluacion. Codigos coherentes y las tres capturas verifican lo declarado (img sin alt, 2,56:1 con AA no superado, enlace de WhatsApp sin nombre accesible). Reserva: el navegador no esta en incognito y tiene extensiones cargadas, y no hay observaciones descriptivas.</t>
  </si>
  <si>
    <t xml:space="preserve">https://www.ups.edu.ec</t>
  </si>
  <si>
    <t xml:space="preserve">Frente a Taipe: los dos coinciden en los tres codigos y en el mismo patron de banners con alt vacio. Se retiene a Cruz por zoom verificable al 100 % y porque Taipe no aporta captura de 1.4.3. Reserva: Cruz entrega 1 de 3 capturas exigidas y su fecha declarada no concuerda con la marca horaria de la captura.</t>
  </si>
  <si>
    <t xml:space="preserve">https://www.indoamerica.edu.ec</t>
  </si>
  <si>
    <t xml:space="preserve">Frente a Tejada: codigos coherentes con n/f y muestra construida a mano. Reserva: su 2.4.4=1 queda en disputa con los enlaces sin nombre accesible que documenta Tejada y que el HTML en vivo respalda.</t>
  </si>
  <si>
    <t xml:space="preserve">https://ecotec.edu.ec</t>
  </si>
  <si>
    <t xml:space="preserve">Unico evaluador, pero con n/f agregado (n=25 f=1) incompatible con el codigo 1 de 1.4.3 y sin evidencia documental de ese criterio.</t>
  </si>
  <si>
    <t xml:space="preserve">Sitios admitidos (incluidos los admitidos con reserva):</t>
  </si>
  <si>
    <t xml:space="preserve">Sitios no admisibles o sin cobertura:</t>
  </si>
  <si>
    <t xml:space="preserve">criterio</t>
  </si>
  <si>
    <t xml:space="preserve">codigo</t>
  </si>
  <si>
    <t xml:space="preserve">retenido</t>
  </si>
  <si>
    <t xml:space="preserve">comentario de arbitraje</t>
  </si>
  <si>
    <t xml:space="preserve">RETENIDO</t>
  </si>
  <si>
    <t xml:space="preserve">Convergencia plena: los dos codifican 0 y declaran exactamente f=7. El desacuerdo esta solo en el denominador (10 frente a 20), es decir en el tamano de la muestra, no en el juicio.</t>
  </si>
  <si>
    <t xml:space="preserve">Los dos codifican 1 con f=0. Sin conflicto.</t>
  </si>
  <si>
    <t xml:space="preserve">El unico fallo de Taipe son los dos enlaces 'Libraries' del menu Research y del pie, confirmados en vivo, que apuntan al mismo destino. Enlaces de igual texto y mismo proposito cumplen 2.4.4, asi que su codigo se corrige a 1 y coincide con el de Calle.</t>
  </si>
  <si>
    <t xml:space="preserve">Se retiene la P de Calle. Los dos coinciden en que hay fallos; el desacuerdo esta en la magnitud (2/10 frente a 2/25) y en el codigo, que con f/n=0,08 es P y no 0.</t>
  </si>
  <si>
    <t xml:space="preserve">Ambos codifican 1, pero la captura de contraste de Figueroa marca 2,74:1 con AA no superado en el texto del hero. El criterio queda abierto: procede volver a medir el bloque hero de Cornell.</t>
  </si>
  <si>
    <t xml:space="preserve">Discrepancia real de muestreo, no de criterio: los dos describen el mismo patron de texto de enlace generico repetido con destinos distintos, con f=2/10 y f=6/25.</t>
  </si>
  <si>
    <t xml:space="preserve">Se retiene la P de Calle por coherencia de codigo, pero el fondo favorece a Figueroa: los iconos del pie con alt vacio dentro de enlaces sin texto no obtienen nombre accesible del title. Marcado como no resuelto.</t>
  </si>
  <si>
    <t xml:space="preserve">Los dos identifican el mismo color #999999 del menu (2,84:1 y 2,68:1). El codigo correcto es 0 en ambos casos; Figueroa lo etiqueta P contra su propio cociente de 0,72.</t>
  </si>
  <si>
    <t xml:space="preserve">Coinciden en el codigo 0 y en el patron de 'Learn more' repetido. Sin conflicto.</t>
  </si>
  <si>
    <t xml:space="preserve">Beltran y Pallo cuentan como fallo el alt que describe la imagen y no el destino. La regla de redundancia del libro de codigos y la comprobacion en vivo (ninguna img sin alt) respaldan el 1 de Calle.</t>
  </si>
  <si>
    <t xml:space="preserve">Dos de tres codifican 1. Los 2,14:1 de los placeholder que reporta Beltran merecen comprobacion aparte, ya que el texto de sugerencia de un campo si esta sujeto a 1.4.3.</t>
  </si>
  <si>
    <t xml:space="preserve">Dos de tres codifican 1. Los 3 fallos de Pallo derivan del mismo constructo discutido en 1.1.1.</t>
  </si>
  <si>
    <t xml:space="preserve">Ambos codifican 0, pero el n/f de Carvajal es imposible (f=7 sobre n=4). Se retiene el 17/7 de Beltran, respaldado por la captura de la imagen de patron con alt no vacio.</t>
  </si>
  <si>
    <t xml:space="preserve">Ambos codifican 1 con f=0. El dictamen previo del sitio fijo P a partir de mediciones de 2,09:1, 1,44:1 y 1,70:1. El codigo queda en revision para los dos.</t>
  </si>
  <si>
    <t xml:space="preserve">Discrepancia de fondo sin resolver: Carvajal declara 22 fallos sobre 33 y Beltran ninguno sobre 25. Ninguno aporta captura del criterio.</t>
  </si>
  <si>
    <t xml:space="preserve">Los tres codifican 0. Se retiene el 7/2 de Pallo, justificado en su anexo y confirmado en vivo por los aria-label con nombre de archivo de generador de imagenes. El n=0 de Carvajal es imposible.</t>
  </si>
  <si>
    <t xml:space="preserve">Pallo 0, Panama P, Carvajal 0. El 2,02:1 sobre #6EC1E4 que documenta Pallo coincide con el dictamen previo del sitio, que fijo 0.</t>
  </si>
  <si>
    <t xml:space="preserve">Aqui Pallo es el mas conservador. Panama (19/26) y el dictamen previo coinciden en 0; el P de Pallo subestima y debe revisarse antes de cerrar la fila.</t>
  </si>
  <si>
    <t xml:space="preserve">El 1 de Panama queda refutado: la comprobacion en vivo muestra logo_mini.png con alt vacio como unico contenido del enlace de inicio. Se retiene la P de Pallo.</t>
  </si>
  <si>
    <t xml:space="preserve">Ambos codifican 0. Convergencia solida sobre el mismo fondo rgb(60,173,225).</t>
  </si>
  <si>
    <t xml:space="preserve">Ambos codifican 0 con f/n de 0,40 y 0,64. Sin conflicto de codigo.</t>
  </si>
  <si>
    <t xml:space="preserve">Los dos codifican 0 y describen el mismo patron: banners del carrusel con alt vacio y onerror='toImgRota(this)'. Convergencia solida.</t>
  </si>
  <si>
    <t xml:space="preserve">Los dos codifican P. Taipe no aporta captura de este criterio, asi que su P se sostiene solo en el recuento declarado.</t>
  </si>
  <si>
    <t xml:space="preserve">Los dos codifican P con f=3 sobre n=25. Coincidencia exacta.</t>
  </si>
  <si>
    <t xml:space="preserve">El 0 de Cruz queda respaldado en vivo (46 de 53 img con alt vacio). La P de Tejada procede de un n/f agregado que en realidad da 0,42.</t>
  </si>
  <si>
    <t xml:space="preserve">Cruz P (4/25) frente a Tejada 0. El n/f de Tejada no es especifico del criterio, asi que no puede sostener el 0. Se retiene la P.</t>
  </si>
  <si>
    <t xml:space="preserve">Unica discrepancia de fondo que queda abierta en este sitio: Cruz declara f=0 y Tejada describe enlaces de tarjeta sin nombre accesible, patron que el HTML en vivo respalda. Procede recontar.</t>
  </si>
  <si>
    <t xml:space="preserve">sitios</t>
  </si>
  <si>
    <t xml:space="preserve">configuracion declarada / observada</t>
  </si>
  <si>
    <t xml:space="preserve">codigos coherentes con n/f</t>
  </si>
  <si>
    <t xml:space="preserve">% coherencia</t>
  </si>
  <si>
    <t xml:space="preserve">incidencias de integridad</t>
  </si>
  <si>
    <t xml:space="preserve">fiabilidad</t>
  </si>
  <si>
    <t xml:space="preserve">informe</t>
  </si>
  <si>
    <t xml:space="preserve">1280x720, incognito, sin extensiones; zoom de previsualizacion &lt;100 % declarado como limitacion</t>
  </si>
  <si>
    <t xml:space="preserve">15 de 15</t>
  </si>
  <si>
    <t xml:space="preserve">Ninguna</t>
  </si>
  <si>
    <t xml:space="preserve">ALTA</t>
  </si>
  <si>
    <t xml:space="preserve">Unica entrega del lote con informe formal, tabla n/f por criterio y una captura por criterio y sitio. Los quince codigos son coherentes con sus propios n/f. Reproduce, sin acceso a el, el dictamen previo de Berkeley y UCL. Pedir solo la repeticion de las capturas al 100 % de zoom.</t>
  </si>
  <si>
    <t xml:space="preserve">1280x720, incognito, zoom 100 %</t>
  </si>
  <si>
    <t xml:space="preserve">9 de 9</t>
  </si>
  <si>
    <t xml:space="preserve">Horarios solapados: 09:45-10:15, 09:45-10:50 y 10:00-11:15 el mismo dia</t>
  </si>
  <si>
    <t xml:space="preserve">Nueve codigos coherentes con n/f y el unico que responde a una observacion previa con un anexo de evidencia firmado. Sus hallazgos de IAEN y ULVR se confirman contra el sitio en vivo. Dos puntos a resolver: el solape de horarios declarados y el error de constructo de 1.1.1 en Northwestern.</t>
  </si>
  <si>
    <t xml:space="preserve">1280x720; navegador con perfil y extensiones, no incognito; zoom no visible</t>
  </si>
  <si>
    <t xml:space="preserve">3 de 3</t>
  </si>
  <si>
    <t xml:space="preserve">Nombres de archivo con doble extension (.png.png); sin observaciones descriptivas, solo n y f</t>
  </si>
  <si>
    <t xml:space="preserve">Entrega corta pero limpia: un solo sitio, tres codigos coherentes con n/f y exactamente una captura por criterio, las tres correctas al contrastarlas con lo declarado. Es la unica evaluacion de UTPL y cierra la cobertura de la submuestra. Pedir repeticion en incognito sin extensiones y anadir la descripcion de los elementos que fallan.</t>
  </si>
  <si>
    <t xml:space="preserve">1280x720, InPrivate, zoom 75 % en vez del 100 % exigido</t>
  </si>
  <si>
    <t xml:space="preserve">Zoom al 75 % confirmado en captura; recuento de 2.4.4 de UNESUM obtenido con un script en la consola; ningun soporte grafico para el 1.4.3 de UPS pese a codificarlo P</t>
  </si>
  <si>
    <t xml:space="preserve">MEDIA</t>
  </si>
  <si>
    <t xml:space="preserve">Nueve codigos coherentes con n/f y aporta las dos evaluaciones que faltaban para cerrar la cobertura y para formar par en Berkeley y UPS, donde converge con Calle y con Cruz. Persisten sin embargo dos errores de constructo ya senalados en la consolidacion anterior: cuenta enlaces de igual texto y mismo proposito como fallo de 2.4.4 en Berkeley, y toma como fallo de 1.4.3 un texto grande que su propia captura marca como AA superado en UNESUM.</t>
  </si>
  <si>
    <t xml:space="preserve">6 de 6</t>
  </si>
  <si>
    <t xml:space="preserve">MEDIA-ALTA</t>
  </si>
  <si>
    <t xml:space="preserve">Seis codigos coherentes con n/f, capturas con el tooltip de accesibilidad y marca horaria concordante con lo declarado. Un fallo sustantivo: el 1.1.1=1 de ULVR, refutado por el alt vacio del logotipo.</t>
  </si>
  <si>
    <t xml:space="preserve">1280x720, zoom 100 %</t>
  </si>
  <si>
    <t xml:space="preserve">Entrega duplicada: EvidenciasFB.rar y validacion_manual_accesibilidad_seis.rar son el mismo archivo (md5 37c14391a9107f96c395e36ce472c4ca)</t>
  </si>
  <si>
    <t xml:space="preserve">Nueve codigos coherentes con n/f y evidencia bien dirigida con el recuadro de contraste de Chrome. Dos reparos de fondo: el error de constructo de 1.1.1 en Northwestern (f=18/25) y el 1.4.3=1 de USECIPOL ya corregido a P en la consolidacion anterior.</t>
  </si>
  <si>
    <t xml:space="preserve">Fecha declarada 17/08 frente a marca horaria de captura 28/08 04:30</t>
  </si>
  <si>
    <t xml:space="preserve">Seis codigos coherentes con n/f y la unica entrega ademas de Beltran con el zoom al 100 % verificable. Faltan capturas: aporta 4 para 5 criterios codificados 0 o P. Debe corregir la fecha.</t>
  </si>
  <si>
    <t xml:space="preserve">1280x720, zoom 50 %</t>
  </si>
  <si>
    <t xml:space="preserve">4 de 6</t>
  </si>
  <si>
    <t xml:space="preserve">n=25 repetido en los seis criterios; horas consecutivas sin margen (21:45-23:00 y 23:00-01:00); hora fin escrita como texto '23:00 p. m.'</t>
  </si>
  <si>
    <t xml:space="preserve">BAJA-MEDIA</t>
  </si>
  <si>
    <t xml:space="preserve">La evidencia de fondo es buena y aprovechable, pero dos de seis codigos contradicen sus propios n/f y una captura de contraste muestra 2,74:1 con AA no superado en un criterio que codifico como cumplido. Debe recodificar aplicando la regla de la seccion 6 y repetir al 100 % de zoom.</t>
  </si>
  <si>
    <t xml:space="preserve">1280x720, incognito, zoom 50 %</t>
  </si>
  <si>
    <t xml:space="preserve">2 de 9</t>
  </si>
  <si>
    <t xml:space="preserve">n/f unico y agregado para los tres criterios en los tres sitios; captura con script pegado en la consola que recorre y resalta los enlaces</t>
  </si>
  <si>
    <t xml:space="preserve">BAJA</t>
  </si>
  <si>
    <t xml:space="preserve">Los hallazgos descritos en el docx son plausibles y en parte confirmados en vivo, pero la codificacion no es verificable: un solo cociente no puede sostener codigos distintos en los tres criterios. Debe reenviar con n y f por criterio y con la muestra construida en orden de documento sin script.</t>
  </si>
  <si>
    <t xml:space="preserve">Dos pares n/f imposibles (n=4 con f=7; n=0 con f=7); texto de la fila EJEMPLO de la plantilla copiado literalmente en dos filas; fecha declarada 17/08 frente a marca horaria de captura 28/08</t>
  </si>
  <si>
    <t xml:space="preserve">No utilizable en su forma actual. Las capturas existen y son numerosas, pero la de 1.4.3 es una vista de pagina sin panel de inspeccion ni medicion, y los recuentos declarados no pueden proceder de una inspeccion real. Requiere rehacer las dos filas por completo.</t>
  </si>
  <si>
    <t xml:space="preserve">n.o de evaluadores en este lote</t>
  </si>
  <si>
    <t xml:space="preserve">evaluadores</t>
  </si>
  <si>
    <t xml:space="preserve">apto para doble codificacion</t>
  </si>
  <si>
    <t xml:space="preserve">CALLE, TAIPE</t>
  </si>
  <si>
    <t xml:space="preserve">si, dos evaluaciones independientes admisibles</t>
  </si>
  <si>
    <t xml:space="preserve">no, un solo evaluador admisible</t>
  </si>
  <si>
    <t xml:space="preserve">CALLE, FIGUEROA</t>
  </si>
  <si>
    <t xml:space="preserve">BELTRAN, CALLE, PALLO</t>
  </si>
  <si>
    <t xml:space="preserve">no</t>
  </si>
  <si>
    <t xml:space="preserve">BELTRAN, CARVAJAL</t>
  </si>
  <si>
    <t xml:space="preserve">CARVAJAL, PALLO, PANAMA</t>
  </si>
  <si>
    <t xml:space="preserve">PALLO, PANAMA</t>
  </si>
  <si>
    <t xml:space="preserve">CRUZ, TAIPE</t>
  </si>
  <si>
    <t xml:space="preserve">CRUZ, TEJADA</t>
  </si>
  <si>
    <t xml:space="preserve">Sitios con al menos una evaluacion en este lote</t>
  </si>
  <si>
    <t xml:space="preserve">Sitios con dos o mas evaluadores</t>
  </si>
  <si>
    <t xml:space="preserve">Total de filas evaluador x sitio</t>
  </si>
  <si>
    <t xml:space="preserve">codigo Andrea</t>
  </si>
  <si>
    <t xml:space="preserve">n declarado (unico por sitio)</t>
  </si>
  <si>
    <t xml:space="preserve">f declarado</t>
  </si>
  <si>
    <t xml:space="preserve">codigo derivado del n/f</t>
  </si>
  <si>
    <t xml:space="preserve">archivo de captura</t>
  </si>
  <si>
    <t xml:space="preserve">nodo inspeccionado en la captura</t>
  </si>
  <si>
    <t xml:space="preserve">documenta el criterio</t>
  </si>
  <si>
    <t xml:space="preserve">marca horaria de la captura</t>
  </si>
  <si>
    <t xml:space="preserve">dictamen</t>
  </si>
  <si>
    <t xml:space="preserve">UTEQ_BERKELEY_1.1.1.png</t>
  </si>
  <si>
    <t xml:space="preserve">img con alt="A scientist wearing a blue lab coat that reads 'university of california' on the left arm stands holding a pipette before machine.", loading=lazy, en el bloque 'Our research improves lives'</t>
  </si>
  <si>
    <t xml:space="preserve">SI</t>
  </si>
  <si>
    <t xml:space="preserve">25/08/2026 09:10</t>
  </si>
  <si>
    <t xml:space="preserve">La captura muestra una imagen con alternativa textual descriptiva, coherente con el codigo 1 para ese elemento. No inspecciona las tarjetas de 'Latest News', que Calle y Taipe declaran como fallo con f=7 cada uno.</t>
  </si>
  <si>
    <t xml:space="preserve">UTEQ_BERKELEY_1.4.3.png</t>
  </si>
  <si>
    <t xml:space="preserve">body.home.wp-singular.page-template...; el panel de estilos muestra la lista de variables --wp--preset--color--*</t>
  </si>
  <si>
    <t xml:space="preserve">NO</t>
  </si>
  <si>
    <t xml:space="preserve">26/08/2026 22:35</t>
  </si>
  <si>
    <t xml:space="preserve">Sin medicion de contraste: el nodo seleccionado es el body y el panel muestra la paleta de variables, no una relacion calculada.</t>
  </si>
  <si>
    <t xml:space="preserve">UTEQ_BERKELEY_2.4.4.png</t>
  </si>
  <si>
    <t xml:space="preserve">a.button.button--cta con href a news.berkeley.edu/2025/09/15/no-1-again-uc-berkeley-generates-more-startups-and-founders-than-any-other-university/ y texto 'Learn more', precedido del h2 'Creating more venture-backed startups than any other university in the world.'</t>
  </si>
  <si>
    <t xml:space="preserve">26/08/2026 22:40</t>
  </si>
  <si>
    <t xml:space="preserve">Enlace con texto generico 'Learn more' cuyo destino se explica por el encabezado inmediatamente anterior. El codigo 1 es defendible con la evidencia mostrada.</t>
  </si>
  <si>
    <t xml:space="preserve">UTEQ_UCL_1.1.1.png</t>
  </si>
  <si>
    <t xml:space="preserve">a.link.link--overlay.link--large.link--accent con href a /students/support-and-wellbeing-services y texto 'How we support our students'</t>
  </si>
  <si>
    <t xml:space="preserve">25/08/2026 22:40</t>
  </si>
  <si>
    <t xml:space="preserve">El nodo inspeccionado es un enlace, no una imagen. La captura no respalda el f=22 declarado.</t>
  </si>
  <si>
    <t xml:space="preserve">UTEQ_UCL_1.4.3.png</t>
  </si>
  <si>
    <t xml:space="preserve">a.link.link--large.link--accent con href a /about/our-people; estilos con color: var(--c-s-text-brand-inverse)</t>
  </si>
  <si>
    <t xml:space="preserve">26/08/2026 23:01</t>
  </si>
  <si>
    <t xml:space="preserve">Sin medicion de contraste. El estilo mostrado es un token de color, no una relacion calculada.</t>
  </si>
  <si>
    <t xml:space="preserve">UTEQ_UCL_2.4.4.png</t>
  </si>
  <si>
    <t xml:space="preserve">div.spotlight__content.col-12.col-lg-6; estilos con la paleta --ucl-*</t>
  </si>
  <si>
    <t xml:space="preserve">26/08/2026 23:11</t>
  </si>
  <si>
    <t xml:space="preserve">El nodo inspeccionado es un div de maquetacion, no un enlace.</t>
  </si>
  <si>
    <t xml:space="preserve">UTEQ_UNESUM_1.1.1.png</t>
  </si>
  <si>
    <t xml:space="preserve">a.elementor-element...e-con.e-parent.e-lazyloaded con data-settings={"background_background":"classic"} y href a /la-unesum-fortalece-la-cooperacion-interinstitucional...; la imagen es fondo CSS, no un img</t>
  </si>
  <si>
    <t xml:space="preserve">PARCIAL</t>
  </si>
  <si>
    <t xml:space="preserve">25/08/2026 22:56</t>
  </si>
  <si>
    <t xml:space="preserve">El nodo es un enlace contenedor cuya imagen se aplica como fondo CSS. Documenta el patron pero no un atributo alt.</t>
  </si>
  <si>
    <t xml:space="preserve">UTEQ_UNESUM_1.4.3.png</t>
  </si>
  <si>
    <t xml:space="preserve">el mismo tipo de nodo a.elementor-element...; estilos con background-image: url(.../2026/08/UnesumQue...)</t>
  </si>
  <si>
    <t xml:space="preserve">26/08/2026 23:22</t>
  </si>
  <si>
    <t xml:space="preserve">Sin medicion de contraste.</t>
  </si>
  <si>
    <t xml:space="preserve">UTEQ_UNESUM_2.4.4.png</t>
  </si>
  <si>
    <t xml:space="preserve">h4.elementor-heading-title.elementor-size-default con el texto 'En linea'</t>
  </si>
  <si>
    <t xml:space="preserve">26/08/2026 23:26</t>
  </si>
  <si>
    <t xml:space="preserve">El nodo inspeccionado es un encabezado h4, no un enlace.</t>
  </si>
  <si>
    <t xml:space="preserve">UTEQ_USECIPOL_1.1.1.png</t>
  </si>
  <si>
    <t xml:space="preserve">div.absolute.inset-0.rounded-2xl.ring-2.ring-transparent.transition-all.duration-500 con aria-hidden="true"</t>
  </si>
  <si>
    <t xml:space="preserve">25/08/2026 23:13</t>
  </si>
  <si>
    <t xml:space="preserve">El nodo es un div decorativo con aria-hidden, no una imagen. No respalda el f declarado.</t>
  </si>
  <si>
    <t xml:space="preserve">UTEQ_USECIPOL_1.4.3.png</t>
  </si>
  <si>
    <t xml:space="preserve">div.relative.mx-auto.w-full.max-w-7xl.px-6.lg:px-8; estilos con reglas de padding</t>
  </si>
  <si>
    <t xml:space="preserve">26/08/2026 23:32</t>
  </si>
  <si>
    <t xml:space="preserve">UTEQ_USECIPOL_2.4.4.png</t>
  </si>
  <si>
    <t xml:space="preserve">el mismo div.absolute.inset-0...aria-hidden="true" de la captura de 1.1.1</t>
  </si>
  <si>
    <t xml:space="preserve">26/08/2026 23:37</t>
  </si>
  <si>
    <t xml:space="preserve">Repite el mismo nodo de la captura de 1.1.1 y no es un enlace.</t>
  </si>
  <si>
    <t xml:space="preserve">UTEQ_IAEN_1.1.1.png</t>
  </si>
  <si>
    <t xml:space="preserve">img.attachment-full.size-full.wp-image-16990.lazy.entered.loaded con alt vacio y src Captura-de-pantalla-2026-06-05-a-las-1.57.36-p.-m.png</t>
  </si>
  <si>
    <t xml:space="preserve">25/08/2026 23:29</t>
  </si>
  <si>
    <t xml:space="preserve">Imagen con alt vacio verificable en el panel Elements. Respalda el codigo 0 y coincide con lo hallado por Pallo y Panama.</t>
  </si>
  <si>
    <t xml:space="preserve">UTEQ_IAEN_1.4.3.png</t>
  </si>
  <si>
    <t xml:space="preserve">div.elementor-background-slideshow__slide.swiper-slide con aria-label="1 / 2" y opacity: 0</t>
  </si>
  <si>
    <t xml:space="preserve">26/08/2026 23:49</t>
  </si>
  <si>
    <t xml:space="preserve">Sin medicion de contraste; ademas el nodo tiene opacity 0.</t>
  </si>
  <si>
    <t xml:space="preserve">UTEQ_IAEN_2.4.4.png</t>
  </si>
  <si>
    <t xml:space="preserve">a.swiper-slide-inner con href a docs.google.com/forms/d/e/1FAIpQLSfZnF043tnNV18IruhLV22mDT5N3zfDVTEq82QeDILxBrfkQg/viewform cuyo unico texto es el div.elementor-button 'Clic aqui'</t>
  </si>
  <si>
    <t xml:space="preserve">26/08/2026 23:41</t>
  </si>
  <si>
    <t xml:space="preserve">La captura muestra un enlace cuyo unico texto es 'Clic aqui', el patron que Panama y el dictamen previo del sitio codifican como 0. Contradice el codigo 1 declarado.</t>
  </si>
  <si>
    <t xml:space="preserve">Codigos coherentes con el n/f declarado</t>
  </si>
  <si>
    <t xml:space="preserve">Capturas que documentan su criterio</t>
  </si>
  <si>
    <t xml:space="preserve">Capturas de 1.4.3 con una relacion de contraste calculada</t>
  </si>
  <si>
    <t xml:space="preserve">evaluador 1.a evaluacion</t>
  </si>
  <si>
    <t xml:space="preserve">codigo 1.a</t>
  </si>
  <si>
    <t xml:space="preserve">evaluador 2.a evaluacion</t>
  </si>
  <si>
    <t xml:space="preserve">codigo 2.a</t>
  </si>
  <si>
    <t xml:space="preserve">acuerdo</t>
  </si>
  <si>
    <t xml:space="preserve">Andrea</t>
  </si>
  <si>
    <t xml:space="preserve">Juicios pareados</t>
  </si>
  <si>
    <t xml:space="preserve">Coincidencias</t>
  </si>
  <si>
    <t xml:space="preserve">po (acuerdo observado)</t>
  </si>
  <si>
    <t xml:space="preserve">1.a evaluacion: codigos 0</t>
  </si>
  <si>
    <t xml:space="preserve">1.a evaluacion: codigos P</t>
  </si>
  <si>
    <t xml:space="preserve">1.a evaluacion: codigos 1</t>
  </si>
  <si>
    <t xml:space="preserve">2.a evaluacion: codigos 0</t>
  </si>
  <si>
    <t xml:space="preserve">2.a evaluacion: codigos P</t>
  </si>
  <si>
    <t xml:space="preserve">2.a evaluacion: codigos 1</t>
  </si>
  <si>
    <t xml:space="preserve">pe (acuerdo esperado por azar)</t>
  </si>
  <si>
    <t xml:space="preserve">kappa de Cohen (no ponderada)</t>
  </si>
  <si>
    <t xml:space="preserve">Umbral minimo fijado para el manuscrito: 0,60</t>
  </si>
  <si>
    <t xml:space="preserve">Regla de emparejamiento: 1.a evaluacion = hoja 'Validacion' del evaluador retenido en cada uno de los 5 sitios de control; 2.a evaluacion = hoja 'Doble evaluacion' de Andrea. Es la regla ya fijada en la consolidacion anterior.</t>
  </si>
  <si>
    <t xml:space="preserve">Los 5 sitios de control (7, 14, 83, 95, 96) aportan por primera vez los 15 juicios pareados completos: en la consolidacion anterior solo 3 de los 5 aportaban par.</t>
  </si>
  <si>
    <t xml:space="preserve">Emparejamientos alternativos calculados aparte: sustituir a Calle por Taipe en Berkeley baja kappa a 0,3836; sustituir a Pallo por Panama en IAEN la deja igual en 0,4565 porque las marginales no cambian.</t>
  </si>
  <si>
    <t xml:space="preserve">Kappa ponderada lineal con el orden 0 &lt; P &lt; 1: po = 0,7333, pe = 0,5067, kappa_w = 0,4595.</t>
  </si>
  <si>
    <t xml:space="preserve">Kappa excluyendo 1.4.3, el criterio sin ninguna medicion de contraste en las capturas de la 2.a evaluacion: 10 pares, 6 coincidencias, kappa = 0,3333.</t>
  </si>
  <si>
    <t xml:space="preserve">Kappa solo con 1.1.1, unico criterio cuyo codigo es coherente con el n/f declarado en los 5 sitios: 5 pares, 3 coincidencias, kappa = -0,2500.</t>
  </si>
  <si>
    <t xml:space="preserve">Acuerdos por criterio: 1.1.1 = 3 de 5; 1.4.3 = 4 de 5; 2.4.4 = 3 de 5.</t>
  </si>
  <si>
    <t xml:space="preserve">Reserva sobre la 2.a evaluacion: declara un unico n/f por sitio en vez de uno por criterio, de modo que 7 de sus 15 codigos no son verificables contra un recuento; ninguna de sus 5 capturas de 1.4.3 contiene una relacion de contraste calculada; y su codigo 1 en 2.4.4 de IAEN queda contradicho por su propia captura.</t>
  </si>
  <si>
    <t xml:space="preserve">Con esa reserva, el valor de 0,4565 no debe presentarse como la fiabilidad del instrumento sin acompanarlo de las limitaciones de la hoja Doble_evaluacion.</t>
  </si>
  <si>
    <t xml:space="preserve">codigo entregado</t>
  </si>
  <si>
    <t xml:space="preserve">que prueba su propia captura</t>
  </si>
  <si>
    <t xml:space="preserve">tipo de correccion</t>
  </si>
  <si>
    <t xml:space="preserve">codigo corregido</t>
  </si>
  <si>
    <t xml:space="preserve">justificacion</t>
  </si>
  <si>
    <t xml:space="preserve">Un img con alt descriptivo, es decir un elemento que cumple.</t>
  </si>
  <si>
    <t xml:space="preserve">NINGUNA</t>
  </si>
  <si>
    <t xml:space="preserve">Una captura de un elemento que cumple no demuestra que f sea 0 en el resto de la muestra. El codigo se mantiene tal como se entrego, sin quedar confirmado.</t>
  </si>
  <si>
    <t xml:space="preserve">Nada sobre contraste: el nodo seleccionado es el body y el panel muestra la lista de variables de color.</t>
  </si>
  <si>
    <t xml:space="preserve">Sin ningun valor medido no hay nada que contradiga ni que confirme el codigo. Queda sin verificar.</t>
  </si>
  <si>
    <t xml:space="preserve">Un enlace con texto 'Learn more' precedido de un encabezado que identifica el destino.</t>
  </si>
  <si>
    <t xml:space="preserve">2.4.4 admite que el proposito se determine por el contexto programatico del enlace. Lo mostrado es compatible con el codigo 1.</t>
  </si>
  <si>
    <t xml:space="preserve">Nada sobre imagenes: el nodo seleccionado es un enlace de texto.</t>
  </si>
  <si>
    <t xml:space="preserve">La captura no respalda el f=22 declarado, pero tampoco lo refuta. No hay correccion derivable de su propia evidencia.</t>
  </si>
  <si>
    <t xml:space="preserve">Nada sobre contraste: un enlace con un token de color, sin relacion calculada.</t>
  </si>
  <si>
    <t xml:space="preserve">Sin valor medido no hay correccion derivable. Queda sin verificar.</t>
  </si>
  <si>
    <t xml:space="preserve">Nada sobre enlaces: el nodo seleccionado es un div de maquetacion.</t>
  </si>
  <si>
    <t xml:space="preserve">Sin ningun enlace inspeccionado no hay correccion derivable. Queda sin verificar.</t>
  </si>
  <si>
    <t xml:space="preserve">Un enlace contenedor cuya imagen se aplica como fondo CSS; la tarjeta lleva ademas texto visible propio.</t>
  </si>
  <si>
    <t xml:space="preserve">El patron mostrado no basta para declarar un fallo: la tarjeta tiene texto visible que puede operar como alternativa. No hay correccion derivable.</t>
  </si>
  <si>
    <t xml:space="preserve">Nada sobre contraste: el mismo nodo contenedor, con la regla background-image.</t>
  </si>
  <si>
    <t xml:space="preserve">Nada sobre enlaces: el nodo seleccionado es un encabezado h4.</t>
  </si>
  <si>
    <t xml:space="preserve">Un div decorativo con aria-hidden true, que es justamente la implementacion correcta para contenido decorativo.</t>
  </si>
  <si>
    <t xml:space="preserve">Lo mostrado no es un fallo de 1.1.1 sino la practica recomendada, pero tampoco refuta el f=8 declarado sobre otros elementos. No hay correccion derivable.</t>
  </si>
  <si>
    <t xml:space="preserve">Nada sobre contraste: un div de maquetacion con reglas de padding.</t>
  </si>
  <si>
    <t xml:space="preserve">Nada sobre enlaces: repite el mismo div con aria-hidden de la captura de 1.1.1.</t>
  </si>
  <si>
    <t xml:space="preserve">Un img con alt vacio, es decir al menos un fallo: f mayor o igual que 1.</t>
  </si>
  <si>
    <t xml:space="preserve">CONFIRMA</t>
  </si>
  <si>
    <t xml:space="preserve">Al probar f mayor o igual que 1 su propia captura descarta el codigo 1. El codigo 0 que declaro es compatible con lo mostrado y con el recuento del sitio.</t>
  </si>
  <si>
    <t xml:space="preserve">Nada sobre contraste: un nodo de carrusel con opacity 0.</t>
  </si>
  <si>
    <t xml:space="preserve">Un enlace hacia un formulario de Google cuyo unico texto es 'Clic aqui': al menos un fallo, f mayor o igual que 1.</t>
  </si>
  <si>
    <t xml:space="preserve">CORRIGE</t>
  </si>
  <si>
    <t xml:space="preserve">El codigo 1 exige f=0, de modo que su propia captura lo descarta. Para separar P de 0 hace falta un recuento del criterio, que no entrego; con el unico recuento que declaro para el sitio (n=15, f=7, cociente 0,467) el codigo resultante es 0.</t>
  </si>
  <si>
    <t xml:space="preserve">Regla aplicada</t>
  </si>
  <si>
    <t xml:space="preserve">Una captura puede demostrar que al menos un elemento falla, y con ello que f es mayor o igual que 1, lo que descarta el codigo 1 porque este exige f=0.</t>
  </si>
  <si>
    <t xml:space="preserve">Una captura no puede demostrar nunca que f sea 0, porque inspecciona un elemento y no la muestra completa.</t>
  </si>
  <si>
    <t xml:space="preserve">Una captura tampoco puede separar P de 0, porque esa frontera depende del cociente f/n y no de un elemento aislado.</t>
  </si>
  <si>
    <t xml:space="preserve">Por tanto solo es corregible con su propia evidencia la celda en la que declaro codigo 1 y su captura muestra un elemento que falla.</t>
  </si>
  <si>
    <t xml:space="preserve">De las quince celdas, una queda corregida (IAEN 2.4.4) y otra queda confirmada (IAEN 1.1.1). Las trece restantes se mantienen como las entrego, sin quedar verificadas.</t>
  </si>
  <si>
    <t xml:space="preserve">Efecto en la kappa de Cohen</t>
  </si>
  <si>
    <t xml:space="preserve">escenario</t>
  </si>
  <si>
    <t xml:space="preserve">pares</t>
  </si>
  <si>
    <t xml:space="preserve">acuerdos</t>
  </si>
  <si>
    <t xml:space="preserve">po</t>
  </si>
  <si>
    <t xml:space="preserve">pe</t>
  </si>
  <si>
    <t xml:space="preserve">kappa</t>
  </si>
  <si>
    <t xml:space="preserve">kappa ponderada</t>
  </si>
  <si>
    <t xml:space="preserve">descripcion</t>
  </si>
  <si>
    <t xml:space="preserve">0 - tal como se entrego</t>
  </si>
  <si>
    <t xml:space="preserve">Los quince juicios con los codigos originales de la segunda evaluacion.</t>
  </si>
  <si>
    <t xml:space="preserve">A - se excluye 96/2.4.4</t>
  </si>
  <si>
    <t xml:space="preserve">La celda que su propia captura descarta se retira del calculo en vez de reasignarse. Es la opcion mas conservadora: no atribuye ningun codigo que ella no haya podido justificar.</t>
  </si>
  <si>
    <t xml:space="preserve">B - 96/2.4.4 pasa a 0</t>
  </si>
  <si>
    <t xml:space="preserve">Se corrige la unica celda corregible aplicandole el unico recuento que declaro para ese sitio. El coeficiente no se mueve porque la celda ya era un desacuerdo antes y despues, y las marginales dan el mismo pe: 6x6+3x1+6x8 = 6x5+3x1+6x9 = 87.</t>
  </si>
  <si>
    <t xml:space="preserve">C - el n/f unico rige los tres criterios</t>
  </si>
  <si>
    <t xml:space="preserve">Es la unica lectura bajo la cual su hoja seria internamente consistente, pero supone que el recuento agregado vale para los tres criterios, cosa que ella no declara. Se incluye solo como cota inferior.</t>
  </si>
  <si>
    <t xml:space="preserve">Ninguno de los cuatro escenarios alcanza el umbral de 0,60 fijado para el manuscrito.</t>
  </si>
  <si>
    <t xml:space="preserve">El escenario A es el unico que no atribuye a la segunda evaluadora ningun codigo que ella no haya podido justificar, y es el que se recomienda declarar, indicando que el par de IAEN 2.4.4 se retira por evidencia contradictoria.</t>
  </si>
  <si>
    <t xml:space="preserve">Corregir su hoja con la evidencia de otras personas (por ejemplo el 1.1.1 de Berkeley, donde Calle y Taipe coinciden en f=7 y ella declara f=0) invalidaria el calculo: dejaria de ser una segunda evaluacion independiente.</t>
  </si>
</sst>
</file>

<file path=xl/styles.xml><?xml version="1.0" encoding="utf-8"?>
<styleSheet xmlns="http://schemas.openxmlformats.org/spreadsheetml/2006/main">
  <numFmts count="6">
    <numFmt numFmtId="164" formatCode="General"/>
    <numFmt numFmtId="165" formatCode="0.00"/>
    <numFmt numFmtId="166" formatCode="General"/>
    <numFmt numFmtId="167" formatCode="0\ %"/>
    <numFmt numFmtId="168" formatCode="0"/>
    <numFmt numFmtId="169" formatCode="0.0000"/>
  </numFmts>
  <fonts count="13">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sz val="10"/>
      <color rgb="FF000000"/>
      <name val="Arial"/>
      <family val="0"/>
      <charset val="1"/>
    </font>
    <font>
      <b val="true"/>
      <sz val="10"/>
      <color rgb="FF000000"/>
      <name val="Arial"/>
      <family val="0"/>
      <charset val="1"/>
    </font>
    <font>
      <b val="true"/>
      <sz val="11"/>
      <color rgb="FF1F3864"/>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b val="true"/>
      <sz val="10"/>
      <color rgb="FFC0000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9.8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23.85" hidden="false" customHeight="false" outlineLevel="0" collapsed="false">
      <c r="A4" s="2"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15" hidden="false" customHeight="false" outlineLevel="0" collapsed="false">
      <c r="A9" s="2"/>
    </row>
    <row r="10" customFormat="false" ht="15" hidden="false" customHeight="false" outlineLevel="0" collapsed="false">
      <c r="A10" s="4" t="s">
        <v>6</v>
      </c>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23.85" hidden="false" customHeight="false" outlineLevel="0" collapsed="false">
      <c r="A18" s="2" t="s">
        <v>14</v>
      </c>
    </row>
    <row r="19" customFormat="false" ht="15" hidden="false" customHeight="false" outlineLevel="0" collapsed="false">
      <c r="A19" s="2"/>
    </row>
    <row r="20" customFormat="false" ht="23.85" hidden="false" customHeight="false" outlineLevel="0" collapsed="false">
      <c r="A20" s="2" t="s">
        <v>15</v>
      </c>
    </row>
    <row r="21" customFormat="false" ht="23.85" hidden="false" customHeight="false" outlineLevel="0" collapsed="false">
      <c r="A21" s="2" t="s">
        <v>16</v>
      </c>
    </row>
    <row r="22" customFormat="false" ht="15" hidden="false" customHeight="false" outlineLevel="0" collapsed="false">
      <c r="A22" s="2"/>
    </row>
    <row r="23" customFormat="false" ht="15" hidden="false" customHeight="false" outlineLevel="0" collapsed="false">
      <c r="A23" s="3" t="s">
        <v>17</v>
      </c>
    </row>
    <row r="24" customFormat="false" ht="15" hidden="false" customHeight="false" outlineLevel="0" collapsed="false">
      <c r="A24" s="2" t="s">
        <v>18</v>
      </c>
    </row>
    <row r="25" customFormat="false" ht="15" hidden="false" customHeight="false" outlineLevel="0" collapsed="false">
      <c r="A25" s="2" t="s">
        <v>19</v>
      </c>
    </row>
    <row r="26" customFormat="false" ht="23.85" hidden="false" customHeight="false" outlineLevel="0" collapsed="false">
      <c r="A26" s="2" t="s">
        <v>20</v>
      </c>
    </row>
    <row r="27" customFormat="false" ht="15" hidden="false" customHeight="false" outlineLevel="0" collapsed="false">
      <c r="A27" s="2" t="s">
        <v>21</v>
      </c>
    </row>
    <row r="28" customFormat="false" ht="15" hidden="false" customHeight="false" outlineLevel="0" collapsed="false">
      <c r="A28" s="2" t="s">
        <v>22</v>
      </c>
    </row>
    <row r="29" customFormat="false" ht="23.85" hidden="false" customHeight="false" outlineLevel="0" collapsed="false">
      <c r="A29" s="2" t="s">
        <v>23</v>
      </c>
    </row>
    <row r="30" customFormat="false" ht="15" hidden="false" customHeight="false" outlineLevel="0" collapsed="false">
      <c r="A30" s="2" t="s">
        <v>24</v>
      </c>
    </row>
    <row r="31" customFormat="false" ht="15" hidden="false" customHeight="false" outlineLevel="0" collapsed="false">
      <c r="A31" s="2" t="s">
        <v>25</v>
      </c>
    </row>
    <row r="32" customFormat="false" ht="15" hidden="false" customHeight="false" outlineLevel="0" collapsed="false">
      <c r="A32" s="2" t="s">
        <v>26</v>
      </c>
    </row>
    <row r="33" customFormat="false" ht="15" hidden="false" customHeight="false" outlineLevel="0" collapsed="false">
      <c r="A33" s="2"/>
    </row>
    <row r="34" customFormat="false" ht="23.85" hidden="false" customHeight="false" outlineLevel="0" collapsed="false">
      <c r="A34" s="2"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4"/>
    <col collapsed="false" customWidth="true" hidden="false" outlineLevel="0" max="4" min="4" style="0" width="11"/>
    <col collapsed="false" customWidth="true" hidden="false" outlineLevel="0" max="5" min="5" style="0" width="30"/>
    <col collapsed="false" customWidth="true" hidden="false" outlineLevel="0" max="6" min="6" style="0" width="12"/>
    <col collapsed="false" customWidth="true" hidden="false" outlineLevel="0" max="8" min="7" style="0" width="8"/>
    <col collapsed="false" customWidth="true" hidden="false" outlineLevel="0" max="9" min="9" style="0" width="22"/>
    <col collapsed="false" customWidth="true" hidden="false" outlineLevel="0" max="10" min="10" style="0" width="10"/>
    <col collapsed="false" customWidth="true" hidden="false" outlineLevel="0" max="12" min="11" style="0" width="6"/>
    <col collapsed="false" customWidth="true" hidden="false" outlineLevel="0" max="13" min="13" style="0" width="8"/>
    <col collapsed="false" customWidth="true" hidden="false" outlineLevel="0" max="14" min="14" style="0" width="10"/>
    <col collapsed="false" customWidth="true" hidden="false" outlineLevel="0" max="15" min="15" style="0" width="11"/>
    <col collapsed="false" customWidth="true" hidden="false" outlineLevel="0" max="16" min="16" style="0" width="10"/>
    <col collapsed="false" customWidth="true" hidden="false" outlineLevel="0" max="18" min="17" style="0" width="6"/>
    <col collapsed="false" customWidth="true" hidden="false" outlineLevel="0" max="19" min="19" style="0" width="8"/>
    <col collapsed="false" customWidth="true" hidden="false" outlineLevel="0" max="20" min="20" style="0" width="10"/>
    <col collapsed="false" customWidth="true" hidden="false" outlineLevel="0" max="21" min="21" style="0" width="11"/>
    <col collapsed="false" customWidth="true" hidden="false" outlineLevel="0" max="22" min="22" style="0" width="10"/>
    <col collapsed="false" customWidth="true" hidden="false" outlineLevel="0" max="24" min="23" style="0" width="6"/>
    <col collapsed="false" customWidth="true" hidden="false" outlineLevel="0" max="25" min="25" style="0" width="8"/>
    <col collapsed="false" customWidth="true" hidden="false" outlineLevel="0" max="26" min="26" style="0" width="10"/>
    <col collapsed="false" customWidth="true" hidden="false" outlineLevel="0" max="27" min="27" style="0" width="11"/>
    <col collapsed="false" customWidth="true" hidden="false" outlineLevel="0" max="28" min="28" style="0" width="9"/>
    <col collapsed="false" customWidth="true" hidden="false" outlineLevel="0" max="29" min="29" style="0" width="95"/>
    <col collapsed="false" customWidth="true" hidden="false" outlineLevel="0" max="30" min="30" style="0" width="42"/>
  </cols>
  <sheetData>
    <row r="1" customFormat="false" ht="42" hidden="false" customHeight="true" outlineLevel="0" collapsed="false">
      <c r="A1" s="5" t="s">
        <v>28</v>
      </c>
      <c r="B1" s="5" t="s">
        <v>29</v>
      </c>
      <c r="C1" s="5" t="s">
        <v>30</v>
      </c>
      <c r="D1" s="5" t="s">
        <v>31</v>
      </c>
      <c r="E1" s="5" t="s">
        <v>32</v>
      </c>
      <c r="F1" s="5" t="s">
        <v>33</v>
      </c>
      <c r="G1" s="5" t="s">
        <v>34</v>
      </c>
      <c r="H1" s="5" t="s">
        <v>35</v>
      </c>
      <c r="I1" s="5" t="s">
        <v>36</v>
      </c>
      <c r="J1" s="5" t="s">
        <v>37</v>
      </c>
      <c r="K1" s="5" t="s">
        <v>38</v>
      </c>
      <c r="L1" s="5" t="s">
        <v>39</v>
      </c>
      <c r="M1" s="5" t="s">
        <v>40</v>
      </c>
      <c r="N1" s="5" t="s">
        <v>41</v>
      </c>
      <c r="O1" s="5" t="s">
        <v>42</v>
      </c>
      <c r="P1" s="5" t="s">
        <v>43</v>
      </c>
      <c r="Q1" s="5" t="s">
        <v>38</v>
      </c>
      <c r="R1" s="5" t="s">
        <v>39</v>
      </c>
      <c r="S1" s="5" t="s">
        <v>40</v>
      </c>
      <c r="T1" s="5" t="s">
        <v>41</v>
      </c>
      <c r="U1" s="5" t="s">
        <v>42</v>
      </c>
      <c r="V1" s="5" t="s">
        <v>44</v>
      </c>
      <c r="W1" s="5" t="s">
        <v>38</v>
      </c>
      <c r="X1" s="5" t="s">
        <v>39</v>
      </c>
      <c r="Y1" s="5" t="s">
        <v>40</v>
      </c>
      <c r="Z1" s="5" t="s">
        <v>41</v>
      </c>
      <c r="AA1" s="5" t="s">
        <v>42</v>
      </c>
      <c r="AB1" s="5" t="s">
        <v>45</v>
      </c>
      <c r="AC1" s="5" t="s">
        <v>46</v>
      </c>
      <c r="AD1" s="5" t="s">
        <v>47</v>
      </c>
    </row>
    <row r="2" customFormat="false" ht="23.85" hidden="false" customHeight="false" outlineLevel="0" collapsed="false">
      <c r="A2" s="6" t="n">
        <v>7</v>
      </c>
      <c r="B2" s="6" t="s">
        <v>48</v>
      </c>
      <c r="C2" s="7" t="s">
        <v>49</v>
      </c>
      <c r="D2" s="7" t="s">
        <v>50</v>
      </c>
      <c r="E2" s="7" t="s">
        <v>51</v>
      </c>
      <c r="F2" s="7" t="s">
        <v>52</v>
      </c>
      <c r="G2" s="6" t="s">
        <v>53</v>
      </c>
      <c r="H2" s="6" t="s">
        <v>54</v>
      </c>
      <c r="I2" s="8" t="s">
        <v>55</v>
      </c>
      <c r="J2" s="6" t="s">
        <v>56</v>
      </c>
      <c r="K2" s="9" t="n">
        <v>10</v>
      </c>
      <c r="L2" s="9" t="n">
        <v>7</v>
      </c>
      <c r="M2" s="10" t="n">
        <f aca="false">IF(K2=0,"n/d",L2/K2)</f>
        <v>0.7</v>
      </c>
      <c r="N2" s="6" t="str">
        <f aca="false">IF(OR(K2="",L2=""),"",IF(L2&gt;K2,"IMPOSIBLE",IF(L2=0,"1",IF(L2/K2&lt;=0.2,"P","0"))))</f>
        <v>0</v>
      </c>
      <c r="O2" s="6" t="str">
        <f aca="false">IF(N2="IMPOSIBLE","IMPOSIBLE",IF(N2=J2,"si","NO"))</f>
        <v>si</v>
      </c>
      <c r="P2" s="6" t="s">
        <v>57</v>
      </c>
      <c r="Q2" s="9" t="n">
        <v>7</v>
      </c>
      <c r="R2" s="9" t="n">
        <v>0</v>
      </c>
      <c r="S2" s="10" t="n">
        <f aca="false">IF(Q2=0,"n/d",R2/Q2)</f>
        <v>0</v>
      </c>
      <c r="T2" s="6" t="str">
        <f aca="false">IF(OR(Q2="",R2=""),"",IF(R2&gt;Q2,"IMPOSIBLE",IF(R2=0,"1",IF(R2/Q2&lt;=0.2,"P","0"))))</f>
        <v>1</v>
      </c>
      <c r="U2" s="6" t="str">
        <f aca="false">IF(T2="IMPOSIBLE","IMPOSIBLE",IF(T2=P2,"si","NO"))</f>
        <v>si</v>
      </c>
      <c r="V2" s="6" t="s">
        <v>57</v>
      </c>
      <c r="W2" s="9" t="n">
        <v>9</v>
      </c>
      <c r="X2" s="9" t="n">
        <v>0</v>
      </c>
      <c r="Y2" s="10" t="n">
        <f aca="false">IF(W2=0,"n/d",X2/W2)</f>
        <v>0</v>
      </c>
      <c r="Z2" s="6" t="str">
        <f aca="false">IF(OR(W2="",X2=""),"",IF(X2&gt;W2,"IMPOSIBLE",IF(X2=0,"1",IF(X2/W2&lt;=0.2,"P","0"))))</f>
        <v>1</v>
      </c>
      <c r="AA2" s="6" t="str">
        <f aca="false">IF(Z2="IMPOSIBLE","IMPOSIBLE",IF(Z2=V2,"si","NO"))</f>
        <v>si</v>
      </c>
      <c r="AB2" s="6" t="n">
        <v>15</v>
      </c>
      <c r="AC2" s="8" t="s">
        <v>58</v>
      </c>
      <c r="AD2" s="8" t="s">
        <v>59</v>
      </c>
    </row>
    <row r="3" customFormat="false" ht="15" hidden="false" customHeight="false" outlineLevel="0" collapsed="false">
      <c r="A3" s="6" t="n">
        <v>14</v>
      </c>
      <c r="B3" s="6" t="s">
        <v>48</v>
      </c>
      <c r="C3" s="7" t="s">
        <v>60</v>
      </c>
      <c r="D3" s="7" t="s">
        <v>50</v>
      </c>
      <c r="E3" s="7" t="s">
        <v>51</v>
      </c>
      <c r="F3" s="7" t="s">
        <v>52</v>
      </c>
      <c r="G3" s="6" t="s">
        <v>61</v>
      </c>
      <c r="H3" s="6" t="s">
        <v>62</v>
      </c>
      <c r="I3" s="8" t="s">
        <v>55</v>
      </c>
      <c r="J3" s="6" t="s">
        <v>57</v>
      </c>
      <c r="K3" s="9" t="n">
        <v>5</v>
      </c>
      <c r="L3" s="9" t="n">
        <v>0</v>
      </c>
      <c r="M3" s="10" t="n">
        <f aca="false">IF(K3=0,"n/d",L3/K3)</f>
        <v>0</v>
      </c>
      <c r="N3" s="6" t="str">
        <f aca="false">IF(OR(K3="",L3=""),"",IF(L3&gt;K3,"IMPOSIBLE",IF(L3=0,"1",IF(L3/K3&lt;=0.2,"P","0"))))</f>
        <v>1</v>
      </c>
      <c r="O3" s="6" t="str">
        <f aca="false">IF(N3="IMPOSIBLE","IMPOSIBLE",IF(N3=J3,"si","NO"))</f>
        <v>si</v>
      </c>
      <c r="P3" s="6" t="s">
        <v>57</v>
      </c>
      <c r="Q3" s="9" t="n">
        <v>4</v>
      </c>
      <c r="R3" s="9" t="n">
        <v>0</v>
      </c>
      <c r="S3" s="10" t="n">
        <f aca="false">IF(Q3=0,"n/d",R3/Q3)</f>
        <v>0</v>
      </c>
      <c r="T3" s="6" t="str">
        <f aca="false">IF(OR(Q3="",R3=""),"",IF(R3&gt;Q3,"IMPOSIBLE",IF(R3=0,"1",IF(R3/Q3&lt;=0.2,"P","0"))))</f>
        <v>1</v>
      </c>
      <c r="U3" s="6" t="str">
        <f aca="false">IF(T3="IMPOSIBLE","IMPOSIBLE",IF(T3=P3,"si","NO"))</f>
        <v>si</v>
      </c>
      <c r="V3" s="6" t="s">
        <v>63</v>
      </c>
      <c r="W3" s="9" t="n">
        <v>16</v>
      </c>
      <c r="X3" s="9" t="n">
        <v>2</v>
      </c>
      <c r="Y3" s="10" t="n">
        <f aca="false">IF(W3=0,"n/d",X3/W3)</f>
        <v>0.125</v>
      </c>
      <c r="Z3" s="6" t="str">
        <f aca="false">IF(OR(W3="",X3=""),"",IF(X3&gt;W3,"IMPOSIBLE",IF(X3=0,"1",IF(X3/W3&lt;=0.2,"P","0"))))</f>
        <v>P</v>
      </c>
      <c r="AA3" s="6" t="str">
        <f aca="false">IF(Z3="IMPOSIBLE","IMPOSIBLE",IF(Z3=V3,"si","NO"))</f>
        <v>si</v>
      </c>
      <c r="AB3" s="6" t="n">
        <v>15</v>
      </c>
      <c r="AC3" s="8" t="s">
        <v>64</v>
      </c>
      <c r="AD3" s="8" t="s">
        <v>59</v>
      </c>
    </row>
    <row r="4" customFormat="false" ht="23.85" hidden="false" customHeight="false" outlineLevel="0" collapsed="false">
      <c r="A4" s="6" t="n">
        <v>15</v>
      </c>
      <c r="B4" s="6" t="s">
        <v>48</v>
      </c>
      <c r="C4" s="7" t="s">
        <v>65</v>
      </c>
      <c r="D4" s="7" t="s">
        <v>50</v>
      </c>
      <c r="E4" s="7" t="s">
        <v>51</v>
      </c>
      <c r="F4" s="7" t="s">
        <v>52</v>
      </c>
      <c r="G4" s="6" t="s">
        <v>66</v>
      </c>
      <c r="H4" s="6" t="s">
        <v>67</v>
      </c>
      <c r="I4" s="8" t="s">
        <v>55</v>
      </c>
      <c r="J4" s="6" t="s">
        <v>63</v>
      </c>
      <c r="K4" s="9" t="n">
        <v>10</v>
      </c>
      <c r="L4" s="9" t="n">
        <v>2</v>
      </c>
      <c r="M4" s="10" t="n">
        <f aca="false">IF(K4=0,"n/d",L4/K4)</f>
        <v>0.2</v>
      </c>
      <c r="N4" s="6" t="str">
        <f aca="false">IF(OR(K4="",L4=""),"",IF(L4&gt;K4,"IMPOSIBLE",IF(L4=0,"1",IF(L4/K4&lt;=0.2,"P","0"))))</f>
        <v>P</v>
      </c>
      <c r="O4" s="6" t="str">
        <f aca="false">IF(N4="IMPOSIBLE","IMPOSIBLE",IF(N4=J4,"si","NO"))</f>
        <v>si</v>
      </c>
      <c r="P4" s="6" t="s">
        <v>57</v>
      </c>
      <c r="Q4" s="9" t="n">
        <v>5</v>
      </c>
      <c r="R4" s="9" t="n">
        <v>0</v>
      </c>
      <c r="S4" s="10" t="n">
        <f aca="false">IF(Q4=0,"n/d",R4/Q4)</f>
        <v>0</v>
      </c>
      <c r="T4" s="6" t="str">
        <f aca="false">IF(OR(Q4="",R4=""),"",IF(R4&gt;Q4,"IMPOSIBLE",IF(R4=0,"1",IF(R4/Q4&lt;=0.2,"P","0"))))</f>
        <v>1</v>
      </c>
      <c r="U4" s="6" t="str">
        <f aca="false">IF(T4="IMPOSIBLE","IMPOSIBLE",IF(T4=P4,"si","NO"))</f>
        <v>si</v>
      </c>
      <c r="V4" s="6" t="s">
        <v>63</v>
      </c>
      <c r="W4" s="9" t="n">
        <v>10</v>
      </c>
      <c r="X4" s="9" t="n">
        <v>2</v>
      </c>
      <c r="Y4" s="10" t="n">
        <f aca="false">IF(W4=0,"n/d",X4/W4)</f>
        <v>0.2</v>
      </c>
      <c r="Z4" s="6" t="str">
        <f aca="false">IF(OR(W4="",X4=""),"",IF(X4&gt;W4,"IMPOSIBLE",IF(X4=0,"1",IF(X4/W4&lt;=0.2,"P","0"))))</f>
        <v>P</v>
      </c>
      <c r="AA4" s="6" t="str">
        <f aca="false">IF(Z4="IMPOSIBLE","IMPOSIBLE",IF(Z4=V4,"si","NO"))</f>
        <v>si</v>
      </c>
      <c r="AB4" s="6" t="n">
        <v>15</v>
      </c>
      <c r="AC4" s="8" t="s">
        <v>68</v>
      </c>
      <c r="AD4" s="8" t="s">
        <v>59</v>
      </c>
    </row>
    <row r="5" customFormat="false" ht="23.85" hidden="false" customHeight="false" outlineLevel="0" collapsed="false">
      <c r="A5" s="6" t="n">
        <v>22</v>
      </c>
      <c r="B5" s="6" t="s">
        <v>48</v>
      </c>
      <c r="C5" s="7" t="s">
        <v>69</v>
      </c>
      <c r="D5" s="7" t="s">
        <v>50</v>
      </c>
      <c r="E5" s="7" t="s">
        <v>51</v>
      </c>
      <c r="F5" s="7" t="s">
        <v>52</v>
      </c>
      <c r="G5" s="6" t="s">
        <v>70</v>
      </c>
      <c r="H5" s="6" t="s">
        <v>71</v>
      </c>
      <c r="I5" s="8" t="s">
        <v>55</v>
      </c>
      <c r="J5" s="6" t="s">
        <v>63</v>
      </c>
      <c r="K5" s="9" t="n">
        <v>11</v>
      </c>
      <c r="L5" s="9" t="n">
        <v>1</v>
      </c>
      <c r="M5" s="10" t="n">
        <f aca="false">IF(K5=0,"n/d",L5/K5)</f>
        <v>0.0909090909090909</v>
      </c>
      <c r="N5" s="6" t="str">
        <f aca="false">IF(OR(K5="",L5=""),"",IF(L5&gt;K5,"IMPOSIBLE",IF(L5=0,"1",IF(L5/K5&lt;=0.2,"P","0"))))</f>
        <v>P</v>
      </c>
      <c r="O5" s="6" t="str">
        <f aca="false">IF(N5="IMPOSIBLE","IMPOSIBLE",IF(N5=J5,"si","NO"))</f>
        <v>si</v>
      </c>
      <c r="P5" s="6" t="s">
        <v>56</v>
      </c>
      <c r="Q5" s="9" t="n">
        <v>3</v>
      </c>
      <c r="R5" s="9" t="n">
        <v>1</v>
      </c>
      <c r="S5" s="10" t="n">
        <f aca="false">IF(Q5=0,"n/d",R5/Q5)</f>
        <v>0.333333333333333</v>
      </c>
      <c r="T5" s="6" t="str">
        <f aca="false">IF(OR(Q5="",R5=""),"",IF(R5&gt;Q5,"IMPOSIBLE",IF(R5=0,"1",IF(R5/Q5&lt;=0.2,"P","0"))))</f>
        <v>0</v>
      </c>
      <c r="U5" s="6" t="str">
        <f aca="false">IF(T5="IMPOSIBLE","IMPOSIBLE",IF(T5=P5,"si","NO"))</f>
        <v>si</v>
      </c>
      <c r="V5" s="6" t="s">
        <v>56</v>
      </c>
      <c r="W5" s="9" t="n">
        <v>11</v>
      </c>
      <c r="X5" s="9" t="n">
        <v>3</v>
      </c>
      <c r="Y5" s="10" t="n">
        <f aca="false">IF(W5=0,"n/d",X5/W5)</f>
        <v>0.272727272727273</v>
      </c>
      <c r="Z5" s="6" t="str">
        <f aca="false">IF(OR(W5="",X5=""),"",IF(X5&gt;W5,"IMPOSIBLE",IF(X5=0,"1",IF(X5/W5&lt;=0.2,"P","0"))))</f>
        <v>0</v>
      </c>
      <c r="AA5" s="6" t="str">
        <f aca="false">IF(Z5="IMPOSIBLE","IMPOSIBLE",IF(Z5=V5,"si","NO"))</f>
        <v>si</v>
      </c>
      <c r="AB5" s="6" t="n">
        <v>15</v>
      </c>
      <c r="AC5" s="8" t="s">
        <v>72</v>
      </c>
      <c r="AD5" s="8" t="s">
        <v>59</v>
      </c>
    </row>
    <row r="6" customFormat="false" ht="23.85" hidden="false" customHeight="false" outlineLevel="0" collapsed="false">
      <c r="A6" s="6" t="n">
        <v>29</v>
      </c>
      <c r="B6" s="6" t="s">
        <v>48</v>
      </c>
      <c r="C6" s="7" t="s">
        <v>73</v>
      </c>
      <c r="D6" s="7" t="s">
        <v>50</v>
      </c>
      <c r="E6" s="7" t="s">
        <v>51</v>
      </c>
      <c r="F6" s="7" t="s">
        <v>52</v>
      </c>
      <c r="G6" s="6" t="s">
        <v>74</v>
      </c>
      <c r="H6" s="6" t="s">
        <v>75</v>
      </c>
      <c r="I6" s="8" t="s">
        <v>55</v>
      </c>
      <c r="J6" s="6" t="s">
        <v>57</v>
      </c>
      <c r="K6" s="9" t="n">
        <v>11</v>
      </c>
      <c r="L6" s="9" t="n">
        <v>0</v>
      </c>
      <c r="M6" s="10" t="n">
        <f aca="false">IF(K6=0,"n/d",L6/K6)</f>
        <v>0</v>
      </c>
      <c r="N6" s="6" t="str">
        <f aca="false">IF(OR(K6="",L6=""),"",IF(L6&gt;K6,"IMPOSIBLE",IF(L6=0,"1",IF(L6/K6&lt;=0.2,"P","0"))))</f>
        <v>1</v>
      </c>
      <c r="O6" s="6" t="str">
        <f aca="false">IF(N6="IMPOSIBLE","IMPOSIBLE",IF(N6=J6,"si","NO"))</f>
        <v>si</v>
      </c>
      <c r="P6" s="6" t="s">
        <v>57</v>
      </c>
      <c r="Q6" s="9" t="n">
        <v>5</v>
      </c>
      <c r="R6" s="9" t="n">
        <v>0</v>
      </c>
      <c r="S6" s="10" t="n">
        <f aca="false">IF(Q6=0,"n/d",R6/Q6)</f>
        <v>0</v>
      </c>
      <c r="T6" s="6" t="str">
        <f aca="false">IF(OR(Q6="",R6=""),"",IF(R6&gt;Q6,"IMPOSIBLE",IF(R6=0,"1",IF(R6/Q6&lt;=0.2,"P","0"))))</f>
        <v>1</v>
      </c>
      <c r="U6" s="6" t="str">
        <f aca="false">IF(T6="IMPOSIBLE","IMPOSIBLE",IF(T6=P6,"si","NO"))</f>
        <v>si</v>
      </c>
      <c r="V6" s="6" t="s">
        <v>57</v>
      </c>
      <c r="W6" s="9" t="n">
        <v>9</v>
      </c>
      <c r="X6" s="9" t="n">
        <v>0</v>
      </c>
      <c r="Y6" s="10" t="n">
        <f aca="false">IF(W6=0,"n/d",X6/W6)</f>
        <v>0</v>
      </c>
      <c r="Z6" s="6" t="str">
        <f aca="false">IF(OR(W6="",X6=""),"",IF(X6&gt;W6,"IMPOSIBLE",IF(X6=0,"1",IF(X6/W6&lt;=0.2,"P","0"))))</f>
        <v>1</v>
      </c>
      <c r="AA6" s="6" t="str">
        <f aca="false">IF(Z6="IMPOSIBLE","IMPOSIBLE",IF(Z6=V6,"si","NO"))</f>
        <v>si</v>
      </c>
      <c r="AB6" s="6" t="n">
        <v>15</v>
      </c>
      <c r="AC6" s="8" t="s">
        <v>76</v>
      </c>
      <c r="AD6" s="8" t="s">
        <v>59</v>
      </c>
    </row>
    <row r="7" customFormat="false" ht="23.85" hidden="false" customHeight="false" outlineLevel="0" collapsed="false">
      <c r="A7" s="6" t="n">
        <v>29</v>
      </c>
      <c r="B7" s="6" t="s">
        <v>48</v>
      </c>
      <c r="C7" s="7" t="s">
        <v>73</v>
      </c>
      <c r="D7" s="7" t="s">
        <v>77</v>
      </c>
      <c r="E7" s="7" t="s">
        <v>78</v>
      </c>
      <c r="F7" s="7" t="s">
        <v>79</v>
      </c>
      <c r="G7" s="6" t="s">
        <v>80</v>
      </c>
      <c r="H7" s="6" t="s">
        <v>81</v>
      </c>
      <c r="I7" s="8" t="s">
        <v>82</v>
      </c>
      <c r="J7" s="6" t="s">
        <v>56</v>
      </c>
      <c r="K7" s="9" t="n">
        <v>25</v>
      </c>
      <c r="L7" s="9" t="n">
        <v>18</v>
      </c>
      <c r="M7" s="10" t="n">
        <f aca="false">IF(K7=0,"n/d",L7/K7)</f>
        <v>0.72</v>
      </c>
      <c r="N7" s="6" t="str">
        <f aca="false">IF(OR(K7="",L7=""),"",IF(L7&gt;K7,"IMPOSIBLE",IF(L7=0,"1",IF(L7/K7&lt;=0.2,"P","0"))))</f>
        <v>0</v>
      </c>
      <c r="O7" s="6" t="str">
        <f aca="false">IF(N7="IMPOSIBLE","IMPOSIBLE",IF(N7=J7,"si","NO"))</f>
        <v>si</v>
      </c>
      <c r="P7" s="6" t="s">
        <v>63</v>
      </c>
      <c r="Q7" s="9" t="n">
        <v>25</v>
      </c>
      <c r="R7" s="9" t="n">
        <v>2</v>
      </c>
      <c r="S7" s="10" t="n">
        <f aca="false">IF(Q7=0,"n/d",R7/Q7)</f>
        <v>0.08</v>
      </c>
      <c r="T7" s="6" t="str">
        <f aca="false">IF(OR(Q7="",R7=""),"",IF(R7&gt;Q7,"IMPOSIBLE",IF(R7=0,"1",IF(R7/Q7&lt;=0.2,"P","0"))))</f>
        <v>P</v>
      </c>
      <c r="U7" s="6" t="str">
        <f aca="false">IF(T7="IMPOSIBLE","IMPOSIBLE",IF(T7=P7,"si","NO"))</f>
        <v>si</v>
      </c>
      <c r="V7" s="6" t="s">
        <v>57</v>
      </c>
      <c r="W7" s="9" t="n">
        <v>25</v>
      </c>
      <c r="X7" s="9" t="n">
        <v>0</v>
      </c>
      <c r="Y7" s="10" t="n">
        <f aca="false">IF(W7=0,"n/d",X7/W7)</f>
        <v>0</v>
      </c>
      <c r="Z7" s="6" t="str">
        <f aca="false">IF(OR(W7="",X7=""),"",IF(X7&gt;W7,"IMPOSIBLE",IF(X7=0,"1",IF(X7/W7&lt;=0.2,"P","0"))))</f>
        <v>1</v>
      </c>
      <c r="AA7" s="6" t="str">
        <f aca="false">IF(Z7="IMPOSIBLE","IMPOSIBLE",IF(Z7=V7,"si","NO"))</f>
        <v>si</v>
      </c>
      <c r="AB7" s="6" t="n">
        <v>11</v>
      </c>
      <c r="AC7" s="8" t="s">
        <v>83</v>
      </c>
      <c r="AD7" s="8" t="s">
        <v>84</v>
      </c>
    </row>
    <row r="8" customFormat="false" ht="23.85" hidden="false" customHeight="false" outlineLevel="0" collapsed="false">
      <c r="A8" s="6" t="n">
        <v>40</v>
      </c>
      <c r="B8" s="6" t="s">
        <v>48</v>
      </c>
      <c r="C8" s="7" t="s">
        <v>85</v>
      </c>
      <c r="D8" s="7" t="s">
        <v>77</v>
      </c>
      <c r="E8" s="7" t="s">
        <v>78</v>
      </c>
      <c r="F8" s="7" t="s">
        <v>79</v>
      </c>
      <c r="G8" s="6" t="s">
        <v>81</v>
      </c>
      <c r="H8" s="6" t="s">
        <v>86</v>
      </c>
      <c r="I8" s="8" t="s">
        <v>82</v>
      </c>
      <c r="J8" s="6" t="s">
        <v>57</v>
      </c>
      <c r="K8" s="9" t="n">
        <v>20</v>
      </c>
      <c r="L8" s="9" t="n">
        <v>0</v>
      </c>
      <c r="M8" s="10" t="n">
        <f aca="false">IF(K8=0,"n/d",L8/K8)</f>
        <v>0</v>
      </c>
      <c r="N8" s="6" t="str">
        <f aca="false">IF(OR(K8="",L8=""),"",IF(L8&gt;K8,"IMPOSIBLE",IF(L8=0,"1",IF(L8/K8&lt;=0.2,"P","0"))))</f>
        <v>1</v>
      </c>
      <c r="O8" s="6" t="str">
        <f aca="false">IF(N8="IMPOSIBLE","IMPOSIBLE",IF(N8=J8,"si","NO"))</f>
        <v>si</v>
      </c>
      <c r="P8" s="6" t="s">
        <v>63</v>
      </c>
      <c r="Q8" s="9" t="n">
        <v>25</v>
      </c>
      <c r="R8" s="9" t="n">
        <v>2</v>
      </c>
      <c r="S8" s="10" t="n">
        <f aca="false">IF(Q8=0,"n/d",R8/Q8)</f>
        <v>0.08</v>
      </c>
      <c r="T8" s="6" t="str">
        <f aca="false">IF(OR(Q8="",R8=""),"",IF(R8&gt;Q8,"IMPOSIBLE",IF(R8=0,"1",IF(R8/Q8&lt;=0.2,"P","0"))))</f>
        <v>P</v>
      </c>
      <c r="U8" s="6" t="str">
        <f aca="false">IF(T8="IMPOSIBLE","IMPOSIBLE",IF(T8=P8,"si","NO"))</f>
        <v>si</v>
      </c>
      <c r="V8" s="6" t="s">
        <v>57</v>
      </c>
      <c r="W8" s="9" t="n">
        <v>25</v>
      </c>
      <c r="X8" s="9" t="n">
        <v>0</v>
      </c>
      <c r="Y8" s="10" t="n">
        <f aca="false">IF(W8=0,"n/d",X8/W8)</f>
        <v>0</v>
      </c>
      <c r="Z8" s="6" t="str">
        <f aca="false">IF(OR(W8="",X8=""),"",IF(X8&gt;W8,"IMPOSIBLE",IF(X8=0,"1",IF(X8/W8&lt;=0.2,"P","0"))))</f>
        <v>1</v>
      </c>
      <c r="AA8" s="6" t="str">
        <f aca="false">IF(Z8="IMPOSIBLE","IMPOSIBLE",IF(Z8=V8,"si","NO"))</f>
        <v>si</v>
      </c>
      <c r="AB8" s="6" t="n">
        <v>11</v>
      </c>
      <c r="AC8" s="8" t="s">
        <v>87</v>
      </c>
      <c r="AD8" s="8" t="s">
        <v>84</v>
      </c>
    </row>
    <row r="9" customFormat="false" ht="23.85" hidden="false" customHeight="false" outlineLevel="0" collapsed="false">
      <c r="A9" s="6" t="n">
        <v>95</v>
      </c>
      <c r="B9" s="6" t="s">
        <v>88</v>
      </c>
      <c r="C9" s="7" t="s">
        <v>89</v>
      </c>
      <c r="D9" s="7" t="s">
        <v>77</v>
      </c>
      <c r="E9" s="7" t="s">
        <v>78</v>
      </c>
      <c r="F9" s="7" t="s">
        <v>79</v>
      </c>
      <c r="G9" s="6" t="s">
        <v>90</v>
      </c>
      <c r="H9" s="6" t="s">
        <v>91</v>
      </c>
      <c r="I9" s="8" t="s">
        <v>82</v>
      </c>
      <c r="J9" s="6" t="s">
        <v>56</v>
      </c>
      <c r="K9" s="9" t="n">
        <v>17</v>
      </c>
      <c r="L9" s="9" t="n">
        <v>7</v>
      </c>
      <c r="M9" s="10" t="n">
        <f aca="false">IF(K9=0,"n/d",L9/K9)</f>
        <v>0.411764705882353</v>
      </c>
      <c r="N9" s="6" t="str">
        <f aca="false">IF(OR(K9="",L9=""),"",IF(L9&gt;K9,"IMPOSIBLE",IF(L9=0,"1",IF(L9/K9&lt;=0.2,"P","0"))))</f>
        <v>0</v>
      </c>
      <c r="O9" s="6" t="str">
        <f aca="false">IF(N9="IMPOSIBLE","IMPOSIBLE",IF(N9=J9,"si","NO"))</f>
        <v>si</v>
      </c>
      <c r="P9" s="6" t="s">
        <v>57</v>
      </c>
      <c r="Q9" s="9" t="n">
        <v>25</v>
      </c>
      <c r="R9" s="9" t="n">
        <v>0</v>
      </c>
      <c r="S9" s="10" t="n">
        <f aca="false">IF(Q9=0,"n/d",R9/Q9)</f>
        <v>0</v>
      </c>
      <c r="T9" s="6" t="str">
        <f aca="false">IF(OR(Q9="",R9=""),"",IF(R9&gt;Q9,"IMPOSIBLE",IF(R9=0,"1",IF(R9/Q9&lt;=0.2,"P","0"))))</f>
        <v>1</v>
      </c>
      <c r="U9" s="6" t="str">
        <f aca="false">IF(T9="IMPOSIBLE","IMPOSIBLE",IF(T9=P9,"si","NO"))</f>
        <v>si</v>
      </c>
      <c r="V9" s="6" t="s">
        <v>57</v>
      </c>
      <c r="W9" s="9" t="n">
        <v>25</v>
      </c>
      <c r="X9" s="9" t="n">
        <v>0</v>
      </c>
      <c r="Y9" s="10" t="n">
        <f aca="false">IF(W9=0,"n/d",X9/W9)</f>
        <v>0</v>
      </c>
      <c r="Z9" s="6" t="str">
        <f aca="false">IF(OR(W9="",X9=""),"",IF(X9&gt;W9,"IMPOSIBLE",IF(X9=0,"1",IF(X9/W9&lt;=0.2,"P","0"))))</f>
        <v>1</v>
      </c>
      <c r="AA9" s="6" t="str">
        <f aca="false">IF(Z9="IMPOSIBLE","IMPOSIBLE",IF(Z9=V9,"si","NO"))</f>
        <v>si</v>
      </c>
      <c r="AB9" s="6" t="n">
        <v>11</v>
      </c>
      <c r="AC9" s="8" t="s">
        <v>92</v>
      </c>
      <c r="AD9" s="8" t="s">
        <v>84</v>
      </c>
    </row>
    <row r="10" customFormat="false" ht="23.85" hidden="false" customHeight="false" outlineLevel="0" collapsed="false">
      <c r="A10" s="6" t="n">
        <v>29</v>
      </c>
      <c r="B10" s="6" t="s">
        <v>48</v>
      </c>
      <c r="C10" s="7" t="s">
        <v>73</v>
      </c>
      <c r="D10" s="7" t="s">
        <v>93</v>
      </c>
      <c r="E10" s="7" t="s">
        <v>94</v>
      </c>
      <c r="F10" s="7" t="s">
        <v>79</v>
      </c>
      <c r="G10" s="6" t="s">
        <v>95</v>
      </c>
      <c r="H10" s="6" t="s">
        <v>96</v>
      </c>
      <c r="I10" s="8" t="s">
        <v>82</v>
      </c>
      <c r="J10" s="6" t="s">
        <v>56</v>
      </c>
      <c r="K10" s="9" t="n">
        <v>16</v>
      </c>
      <c r="L10" s="9" t="n">
        <v>9</v>
      </c>
      <c r="M10" s="10" t="n">
        <f aca="false">IF(K10=0,"n/d",L10/K10)</f>
        <v>0.5625</v>
      </c>
      <c r="N10" s="6" t="str">
        <f aca="false">IF(OR(K10="",L10=""),"",IF(L10&gt;K10,"IMPOSIBLE",IF(L10=0,"1",IF(L10/K10&lt;=0.2,"P","0"))))</f>
        <v>0</v>
      </c>
      <c r="O10" s="6" t="str">
        <f aca="false">IF(N10="IMPOSIBLE","IMPOSIBLE",IF(N10=J10,"si","NO"))</f>
        <v>si</v>
      </c>
      <c r="P10" s="6" t="s">
        <v>57</v>
      </c>
      <c r="Q10" s="9" t="n">
        <v>23</v>
      </c>
      <c r="R10" s="9" t="n">
        <v>0</v>
      </c>
      <c r="S10" s="10" t="n">
        <f aca="false">IF(Q10=0,"n/d",R10/Q10)</f>
        <v>0</v>
      </c>
      <c r="T10" s="6" t="str">
        <f aca="false">IF(OR(Q10="",R10=""),"",IF(R10&gt;Q10,"IMPOSIBLE",IF(R10=0,"1",IF(R10/Q10&lt;=0.2,"P","0"))))</f>
        <v>1</v>
      </c>
      <c r="U10" s="6" t="str">
        <f aca="false">IF(T10="IMPOSIBLE","IMPOSIBLE",IF(T10=P10,"si","NO"))</f>
        <v>si</v>
      </c>
      <c r="V10" s="6" t="s">
        <v>63</v>
      </c>
      <c r="W10" s="9" t="n">
        <v>25</v>
      </c>
      <c r="X10" s="9" t="n">
        <v>3</v>
      </c>
      <c r="Y10" s="10" t="n">
        <f aca="false">IF(W10=0,"n/d",X10/W10)</f>
        <v>0.12</v>
      </c>
      <c r="Z10" s="6" t="str">
        <f aca="false">IF(OR(W10="",X10=""),"",IF(X10&gt;W10,"IMPOSIBLE",IF(X10=0,"1",IF(X10/W10&lt;=0.2,"P","0"))))</f>
        <v>P</v>
      </c>
      <c r="AA10" s="6" t="str">
        <f aca="false">IF(Z10="IMPOSIBLE","IMPOSIBLE",IF(Z10=V10,"si","NO"))</f>
        <v>si</v>
      </c>
      <c r="AB10" s="6" t="n">
        <v>7</v>
      </c>
      <c r="AC10" s="8" t="s">
        <v>97</v>
      </c>
      <c r="AD10" s="8" t="s">
        <v>98</v>
      </c>
    </row>
    <row r="11" customFormat="false" ht="35.05" hidden="false" customHeight="false" outlineLevel="0" collapsed="false">
      <c r="A11" s="6" t="n">
        <v>96</v>
      </c>
      <c r="B11" s="6" t="s">
        <v>88</v>
      </c>
      <c r="C11" s="7" t="s">
        <v>99</v>
      </c>
      <c r="D11" s="7" t="s">
        <v>93</v>
      </c>
      <c r="E11" s="7" t="s">
        <v>94</v>
      </c>
      <c r="F11" s="7" t="s">
        <v>79</v>
      </c>
      <c r="G11" s="6" t="s">
        <v>95</v>
      </c>
      <c r="H11" s="6" t="s">
        <v>100</v>
      </c>
      <c r="I11" s="8" t="s">
        <v>82</v>
      </c>
      <c r="J11" s="6" t="s">
        <v>56</v>
      </c>
      <c r="K11" s="9" t="n">
        <v>7</v>
      </c>
      <c r="L11" s="9" t="n">
        <v>2</v>
      </c>
      <c r="M11" s="10" t="n">
        <f aca="false">IF(K11=0,"n/d",L11/K11)</f>
        <v>0.285714285714286</v>
      </c>
      <c r="N11" s="6" t="str">
        <f aca="false">IF(OR(K11="",L11=""),"",IF(L11&gt;K11,"IMPOSIBLE",IF(L11=0,"1",IF(L11/K11&lt;=0.2,"P","0"))))</f>
        <v>0</v>
      </c>
      <c r="O11" s="6" t="str">
        <f aca="false">IF(N11="IMPOSIBLE","IMPOSIBLE",IF(N11=J11,"si","NO"))</f>
        <v>si</v>
      </c>
      <c r="P11" s="6" t="s">
        <v>56</v>
      </c>
      <c r="Q11" s="9" t="n">
        <v>16</v>
      </c>
      <c r="R11" s="9" t="n">
        <v>4</v>
      </c>
      <c r="S11" s="10" t="n">
        <f aca="false">IF(Q11=0,"n/d",R11/Q11)</f>
        <v>0.25</v>
      </c>
      <c r="T11" s="6" t="str">
        <f aca="false">IF(OR(Q11="",R11=""),"",IF(R11&gt;Q11,"IMPOSIBLE",IF(R11=0,"1",IF(R11/Q11&lt;=0.2,"P","0"))))</f>
        <v>0</v>
      </c>
      <c r="U11" s="6" t="str">
        <f aca="false">IF(T11="IMPOSIBLE","IMPOSIBLE",IF(T11=P11,"si","NO"))</f>
        <v>si</v>
      </c>
      <c r="V11" s="6" t="s">
        <v>63</v>
      </c>
      <c r="W11" s="9" t="n">
        <v>18</v>
      </c>
      <c r="X11" s="9" t="n">
        <v>2</v>
      </c>
      <c r="Y11" s="10" t="n">
        <f aca="false">IF(W11=0,"n/d",X11/W11)</f>
        <v>0.111111111111111</v>
      </c>
      <c r="Z11" s="6" t="str">
        <f aca="false">IF(OR(W11="",X11=""),"",IF(X11&gt;W11,"IMPOSIBLE",IF(X11=0,"1",IF(X11/W11&lt;=0.2,"P","0"))))</f>
        <v>P</v>
      </c>
      <c r="AA11" s="6" t="str">
        <f aca="false">IF(Z11="IMPOSIBLE","IMPOSIBLE",IF(Z11=V11,"si","NO"))</f>
        <v>si</v>
      </c>
      <c r="AB11" s="6" t="n">
        <v>7</v>
      </c>
      <c r="AC11" s="8" t="s">
        <v>101</v>
      </c>
      <c r="AD11" s="8" t="s">
        <v>98</v>
      </c>
    </row>
    <row r="12" customFormat="false" ht="23.85" hidden="false" customHeight="false" outlineLevel="0" collapsed="false">
      <c r="A12" s="6" t="n">
        <v>102</v>
      </c>
      <c r="B12" s="6" t="s">
        <v>88</v>
      </c>
      <c r="C12" s="7" t="s">
        <v>102</v>
      </c>
      <c r="D12" s="7" t="s">
        <v>93</v>
      </c>
      <c r="E12" s="7" t="s">
        <v>94</v>
      </c>
      <c r="F12" s="7" t="s">
        <v>79</v>
      </c>
      <c r="G12" s="6" t="s">
        <v>80</v>
      </c>
      <c r="H12" s="6" t="s">
        <v>103</v>
      </c>
      <c r="I12" s="8" t="s">
        <v>82</v>
      </c>
      <c r="J12" s="6" t="s">
        <v>63</v>
      </c>
      <c r="K12" s="9" t="n">
        <v>8</v>
      </c>
      <c r="L12" s="9" t="n">
        <v>1</v>
      </c>
      <c r="M12" s="10" t="n">
        <f aca="false">IF(K12=0,"n/d",L12/K12)</f>
        <v>0.125</v>
      </c>
      <c r="N12" s="6" t="str">
        <f aca="false">IF(OR(K12="",L12=""),"",IF(L12&gt;K12,"IMPOSIBLE",IF(L12=0,"1",IF(L12/K12&lt;=0.2,"P","0"))))</f>
        <v>P</v>
      </c>
      <c r="O12" s="6" t="str">
        <f aca="false">IF(N12="IMPOSIBLE","IMPOSIBLE",IF(N12=J12,"si","NO"))</f>
        <v>si</v>
      </c>
      <c r="P12" s="6" t="s">
        <v>56</v>
      </c>
      <c r="Q12" s="9" t="n">
        <v>15</v>
      </c>
      <c r="R12" s="9" t="n">
        <v>6</v>
      </c>
      <c r="S12" s="10" t="n">
        <f aca="false">IF(Q12=0,"n/d",R12/Q12)</f>
        <v>0.4</v>
      </c>
      <c r="T12" s="6" t="str">
        <f aca="false">IF(OR(Q12="",R12=""),"",IF(R12&gt;Q12,"IMPOSIBLE",IF(R12=0,"1",IF(R12/Q12&lt;=0.2,"P","0"))))</f>
        <v>0</v>
      </c>
      <c r="U12" s="6" t="str">
        <f aca="false">IF(T12="IMPOSIBLE","IMPOSIBLE",IF(T12=P12,"si","NO"))</f>
        <v>si</v>
      </c>
      <c r="V12" s="6" t="s">
        <v>56</v>
      </c>
      <c r="W12" s="9" t="n">
        <v>25</v>
      </c>
      <c r="X12" s="9" t="n">
        <v>10</v>
      </c>
      <c r="Y12" s="10" t="n">
        <f aca="false">IF(W12=0,"n/d",X12/W12)</f>
        <v>0.4</v>
      </c>
      <c r="Z12" s="6" t="str">
        <f aca="false">IF(OR(W12="",X12=""),"",IF(X12&gt;W12,"IMPOSIBLE",IF(X12=0,"1",IF(X12/W12&lt;=0.2,"P","0"))))</f>
        <v>0</v>
      </c>
      <c r="AA12" s="6" t="str">
        <f aca="false">IF(Z12="IMPOSIBLE","IMPOSIBLE",IF(Z12=V12,"si","NO"))</f>
        <v>si</v>
      </c>
      <c r="AB12" s="6" t="n">
        <v>7</v>
      </c>
      <c r="AC12" s="8" t="s">
        <v>104</v>
      </c>
      <c r="AD12" s="8" t="s">
        <v>98</v>
      </c>
    </row>
    <row r="13" customFormat="false" ht="35.05" hidden="false" customHeight="false" outlineLevel="0" collapsed="false">
      <c r="A13" s="6" t="n">
        <v>96</v>
      </c>
      <c r="B13" s="6" t="s">
        <v>88</v>
      </c>
      <c r="C13" s="7" t="s">
        <v>99</v>
      </c>
      <c r="D13" s="7" t="s">
        <v>105</v>
      </c>
      <c r="E13" s="7" t="s">
        <v>106</v>
      </c>
      <c r="F13" s="7" t="s">
        <v>107</v>
      </c>
      <c r="G13" s="6" t="s">
        <v>108</v>
      </c>
      <c r="H13" s="6" t="s">
        <v>109</v>
      </c>
      <c r="I13" s="8" t="s">
        <v>110</v>
      </c>
      <c r="J13" s="6" t="s">
        <v>56</v>
      </c>
      <c r="K13" s="9" t="n">
        <v>22</v>
      </c>
      <c r="L13" s="9" t="n">
        <v>7</v>
      </c>
      <c r="M13" s="10" t="n">
        <f aca="false">IF(K13=0,"n/d",L13/K13)</f>
        <v>0.318181818181818</v>
      </c>
      <c r="N13" s="6" t="str">
        <f aca="false">IF(OR(K13="",L13=""),"",IF(L13&gt;K13,"IMPOSIBLE",IF(L13=0,"1",IF(L13/K13&lt;=0.2,"P","0"))))</f>
        <v>0</v>
      </c>
      <c r="O13" s="6" t="str">
        <f aca="false">IF(N13="IMPOSIBLE","IMPOSIBLE",IF(N13=J13,"si","NO"))</f>
        <v>si</v>
      </c>
      <c r="P13" s="6" t="s">
        <v>63</v>
      </c>
      <c r="Q13" s="9" t="n">
        <v>25</v>
      </c>
      <c r="R13" s="9" t="n">
        <v>5</v>
      </c>
      <c r="S13" s="10" t="n">
        <f aca="false">IF(Q13=0,"n/d",R13/Q13)</f>
        <v>0.2</v>
      </c>
      <c r="T13" s="6" t="str">
        <f aca="false">IF(OR(Q13="",R13=""),"",IF(R13&gt;Q13,"IMPOSIBLE",IF(R13=0,"1",IF(R13/Q13&lt;=0.2,"P","0"))))</f>
        <v>P</v>
      </c>
      <c r="U13" s="6" t="str">
        <f aca="false">IF(T13="IMPOSIBLE","IMPOSIBLE",IF(T13=P13,"si","NO"))</f>
        <v>si</v>
      </c>
      <c r="V13" s="6" t="s">
        <v>56</v>
      </c>
      <c r="W13" s="9" t="n">
        <v>26</v>
      </c>
      <c r="X13" s="9" t="n">
        <v>19</v>
      </c>
      <c r="Y13" s="10" t="n">
        <f aca="false">IF(W13=0,"n/d",X13/W13)</f>
        <v>0.730769230769231</v>
      </c>
      <c r="Z13" s="6" t="str">
        <f aca="false">IF(OR(W13="",X13=""),"",IF(X13&gt;W13,"IMPOSIBLE",IF(X13=0,"1",IF(X13/W13&lt;=0.2,"P","0"))))</f>
        <v>0</v>
      </c>
      <c r="AA13" s="6" t="str">
        <f aca="false">IF(Z13="IMPOSIBLE","IMPOSIBLE",IF(Z13=V13,"si","NO"))</f>
        <v>si</v>
      </c>
      <c r="AB13" s="6" t="n">
        <v>16</v>
      </c>
      <c r="AC13" s="8" t="s">
        <v>111</v>
      </c>
      <c r="AD13" s="8" t="s">
        <v>112</v>
      </c>
    </row>
    <row r="14" customFormat="false" ht="15" hidden="false" customHeight="false" outlineLevel="0" collapsed="false">
      <c r="A14" s="6" t="n">
        <v>102</v>
      </c>
      <c r="B14" s="6" t="s">
        <v>88</v>
      </c>
      <c r="C14" s="7" t="s">
        <v>102</v>
      </c>
      <c r="D14" s="7" t="s">
        <v>105</v>
      </c>
      <c r="E14" s="7" t="s">
        <v>106</v>
      </c>
      <c r="F14" s="7" t="s">
        <v>52</v>
      </c>
      <c r="G14" s="6" t="s">
        <v>113</v>
      </c>
      <c r="H14" s="6" t="s">
        <v>114</v>
      </c>
      <c r="I14" s="8" t="s">
        <v>110</v>
      </c>
      <c r="J14" s="6" t="s">
        <v>57</v>
      </c>
      <c r="K14" s="9" t="n">
        <v>8</v>
      </c>
      <c r="L14" s="9" t="n">
        <v>0</v>
      </c>
      <c r="M14" s="10" t="n">
        <f aca="false">IF(K14=0,"n/d",L14/K14)</f>
        <v>0</v>
      </c>
      <c r="N14" s="6" t="str">
        <f aca="false">IF(OR(K14="",L14=""),"",IF(L14&gt;K14,"IMPOSIBLE",IF(L14=0,"1",IF(L14/K14&lt;=0.2,"P","0"))))</f>
        <v>1</v>
      </c>
      <c r="O14" s="6" t="str">
        <f aca="false">IF(N14="IMPOSIBLE","IMPOSIBLE",IF(N14=J14,"si","NO"))</f>
        <v>si</v>
      </c>
      <c r="P14" s="6" t="s">
        <v>56</v>
      </c>
      <c r="Q14" s="9" t="n">
        <v>25</v>
      </c>
      <c r="R14" s="9" t="n">
        <v>17</v>
      </c>
      <c r="S14" s="10" t="n">
        <f aca="false">IF(Q14=0,"n/d",R14/Q14)</f>
        <v>0.68</v>
      </c>
      <c r="T14" s="6" t="str">
        <f aca="false">IF(OR(Q14="",R14=""),"",IF(R14&gt;Q14,"IMPOSIBLE",IF(R14=0,"1",IF(R14/Q14&lt;=0.2,"P","0"))))</f>
        <v>0</v>
      </c>
      <c r="U14" s="6" t="str">
        <f aca="false">IF(T14="IMPOSIBLE","IMPOSIBLE",IF(T14=P14,"si","NO"))</f>
        <v>si</v>
      </c>
      <c r="V14" s="6" t="s">
        <v>56</v>
      </c>
      <c r="W14" s="9" t="n">
        <v>22</v>
      </c>
      <c r="X14" s="9" t="n">
        <v>14</v>
      </c>
      <c r="Y14" s="10" t="n">
        <f aca="false">IF(W14=0,"n/d",X14/W14)</f>
        <v>0.636363636363636</v>
      </c>
      <c r="Z14" s="6" t="str">
        <f aca="false">IF(OR(W14="",X14=""),"",IF(X14&gt;W14,"IMPOSIBLE",IF(X14=0,"1",IF(X14/W14&lt;=0.2,"P","0"))))</f>
        <v>0</v>
      </c>
      <c r="AA14" s="6" t="str">
        <f aca="false">IF(Z14="IMPOSIBLE","IMPOSIBLE",IF(Z14=V14,"si","NO"))</f>
        <v>si</v>
      </c>
      <c r="AB14" s="6" t="n">
        <v>16</v>
      </c>
      <c r="AC14" s="8" t="s">
        <v>115</v>
      </c>
      <c r="AD14" s="8" t="s">
        <v>112</v>
      </c>
    </row>
    <row r="15" customFormat="false" ht="35.05" hidden="false" customHeight="false" outlineLevel="0" collapsed="false">
      <c r="A15" s="6" t="n">
        <v>106</v>
      </c>
      <c r="B15" s="6" t="s">
        <v>88</v>
      </c>
      <c r="C15" s="7" t="s">
        <v>116</v>
      </c>
      <c r="D15" s="7" t="s">
        <v>117</v>
      </c>
      <c r="E15" s="7" t="s">
        <v>118</v>
      </c>
      <c r="F15" s="7" t="s">
        <v>79</v>
      </c>
      <c r="G15" s="6" t="s">
        <v>119</v>
      </c>
      <c r="H15" s="6" t="s">
        <v>120</v>
      </c>
      <c r="I15" s="8" t="s">
        <v>82</v>
      </c>
      <c r="J15" s="6" t="s">
        <v>56</v>
      </c>
      <c r="K15" s="9" t="n">
        <v>25</v>
      </c>
      <c r="L15" s="9" t="n">
        <v>7</v>
      </c>
      <c r="M15" s="10" t="n">
        <f aca="false">IF(K15=0,"n/d",L15/K15)</f>
        <v>0.28</v>
      </c>
      <c r="N15" s="6" t="str">
        <f aca="false">IF(OR(K15="",L15=""),"",IF(L15&gt;K15,"IMPOSIBLE",IF(L15=0,"1",IF(L15/K15&lt;=0.2,"P","0"))))</f>
        <v>0</v>
      </c>
      <c r="O15" s="6" t="str">
        <f aca="false">IF(N15="IMPOSIBLE","IMPOSIBLE",IF(N15=J15,"si","NO"))</f>
        <v>si</v>
      </c>
      <c r="P15" s="6" t="s">
        <v>63</v>
      </c>
      <c r="Q15" s="9" t="n">
        <v>25</v>
      </c>
      <c r="R15" s="9" t="n">
        <v>4</v>
      </c>
      <c r="S15" s="10" t="n">
        <f aca="false">IF(Q15=0,"n/d",R15/Q15)</f>
        <v>0.16</v>
      </c>
      <c r="T15" s="6" t="str">
        <f aca="false">IF(OR(Q15="",R15=""),"",IF(R15&gt;Q15,"IMPOSIBLE",IF(R15=0,"1",IF(R15/Q15&lt;=0.2,"P","0"))))</f>
        <v>P</v>
      </c>
      <c r="U15" s="6" t="str">
        <f aca="false">IF(T15="IMPOSIBLE","IMPOSIBLE",IF(T15=P15,"si","NO"))</f>
        <v>si</v>
      </c>
      <c r="V15" s="6" t="s">
        <v>63</v>
      </c>
      <c r="W15" s="9" t="n">
        <v>25</v>
      </c>
      <c r="X15" s="9" t="n">
        <v>3</v>
      </c>
      <c r="Y15" s="10" t="n">
        <f aca="false">IF(W15=0,"n/d",X15/W15)</f>
        <v>0.12</v>
      </c>
      <c r="Z15" s="6" t="str">
        <f aca="false">IF(OR(W15="",X15=""),"",IF(X15&gt;W15,"IMPOSIBLE",IF(X15=0,"1",IF(X15/W15&lt;=0.2,"P","0"))))</f>
        <v>P</v>
      </c>
      <c r="AA15" s="6" t="str">
        <f aca="false">IF(Z15="IMPOSIBLE","IMPOSIBLE",IF(Z15=V15,"si","NO"))</f>
        <v>si</v>
      </c>
      <c r="AB15" s="6" t="n">
        <v>4</v>
      </c>
      <c r="AC15" s="8" t="s">
        <v>121</v>
      </c>
      <c r="AD15" s="8" t="s">
        <v>122</v>
      </c>
    </row>
    <row r="16" customFormat="false" ht="23.85" hidden="false" customHeight="false" outlineLevel="0" collapsed="false">
      <c r="A16" s="6" t="n">
        <v>114</v>
      </c>
      <c r="B16" s="6" t="s">
        <v>88</v>
      </c>
      <c r="C16" s="7" t="s">
        <v>123</v>
      </c>
      <c r="D16" s="7" t="s">
        <v>117</v>
      </c>
      <c r="E16" s="7" t="s">
        <v>118</v>
      </c>
      <c r="F16" s="7" t="s">
        <v>79</v>
      </c>
      <c r="G16" s="6" t="s">
        <v>120</v>
      </c>
      <c r="H16" s="6" t="s">
        <v>124</v>
      </c>
      <c r="I16" s="8" t="s">
        <v>82</v>
      </c>
      <c r="J16" s="6" t="s">
        <v>56</v>
      </c>
      <c r="K16" s="9" t="n">
        <v>25</v>
      </c>
      <c r="L16" s="9" t="n">
        <v>6</v>
      </c>
      <c r="M16" s="10" t="n">
        <f aca="false">IF(K16=0,"n/d",L16/K16)</f>
        <v>0.24</v>
      </c>
      <c r="N16" s="6" t="str">
        <f aca="false">IF(OR(K16="",L16=""),"",IF(L16&gt;K16,"IMPOSIBLE",IF(L16=0,"1",IF(L16/K16&lt;=0.2,"P","0"))))</f>
        <v>0</v>
      </c>
      <c r="O16" s="6" t="str">
        <f aca="false">IF(N16="IMPOSIBLE","IMPOSIBLE",IF(N16=J16,"si","NO"))</f>
        <v>si</v>
      </c>
      <c r="P16" s="6" t="s">
        <v>63</v>
      </c>
      <c r="Q16" s="9" t="n">
        <v>25</v>
      </c>
      <c r="R16" s="9" t="n">
        <v>4</v>
      </c>
      <c r="S16" s="10" t="n">
        <f aca="false">IF(Q16=0,"n/d",R16/Q16)</f>
        <v>0.16</v>
      </c>
      <c r="T16" s="6" t="str">
        <f aca="false">IF(OR(Q16="",R16=""),"",IF(R16&gt;Q16,"IMPOSIBLE",IF(R16=0,"1",IF(R16/Q16&lt;=0.2,"P","0"))))</f>
        <v>P</v>
      </c>
      <c r="U16" s="6" t="str">
        <f aca="false">IF(T16="IMPOSIBLE","IMPOSIBLE",IF(T16=P16,"si","NO"))</f>
        <v>si</v>
      </c>
      <c r="V16" s="6" t="s">
        <v>57</v>
      </c>
      <c r="W16" s="9" t="n">
        <v>25</v>
      </c>
      <c r="X16" s="9" t="n">
        <v>0</v>
      </c>
      <c r="Y16" s="10" t="n">
        <f aca="false">IF(W16=0,"n/d",X16/W16)</f>
        <v>0</v>
      </c>
      <c r="Z16" s="6" t="str">
        <f aca="false">IF(OR(W16="",X16=""),"",IF(X16&gt;W16,"IMPOSIBLE",IF(X16=0,"1",IF(X16/W16&lt;=0.2,"P","0"))))</f>
        <v>1</v>
      </c>
      <c r="AA16" s="6" t="str">
        <f aca="false">IF(Z16="IMPOSIBLE","IMPOSIBLE",IF(Z16=V16,"si","NO"))</f>
        <v>si</v>
      </c>
      <c r="AB16" s="6" t="n">
        <v>4</v>
      </c>
      <c r="AC16" s="8" t="s">
        <v>125</v>
      </c>
      <c r="AD16" s="8" t="s">
        <v>122</v>
      </c>
    </row>
    <row r="17" customFormat="false" ht="23.85" hidden="false" customHeight="false" outlineLevel="0" collapsed="false">
      <c r="A17" s="6" t="n">
        <v>15</v>
      </c>
      <c r="B17" s="6" t="s">
        <v>48</v>
      </c>
      <c r="C17" s="7" t="s">
        <v>65</v>
      </c>
      <c r="D17" s="7" t="s">
        <v>126</v>
      </c>
      <c r="E17" s="7" t="s">
        <v>127</v>
      </c>
      <c r="F17" s="7" t="s">
        <v>128</v>
      </c>
      <c r="G17" s="6" t="s">
        <v>129</v>
      </c>
      <c r="H17" s="6" t="s">
        <v>130</v>
      </c>
      <c r="I17" s="8" t="s">
        <v>131</v>
      </c>
      <c r="J17" s="6" t="s">
        <v>56</v>
      </c>
      <c r="K17" s="9" t="n">
        <v>25</v>
      </c>
      <c r="L17" s="9" t="n">
        <v>2</v>
      </c>
      <c r="M17" s="10" t="n">
        <f aca="false">IF(K17=0,"n/d",L17/K17)</f>
        <v>0.08</v>
      </c>
      <c r="N17" s="6" t="str">
        <f aca="false">IF(OR(K17="",L17=""),"",IF(L17&gt;K17,"IMPOSIBLE",IF(L17=0,"1",IF(L17/K17&lt;=0.2,"P","0"))))</f>
        <v>P</v>
      </c>
      <c r="O17" s="6" t="str">
        <f aca="false">IF(N17="IMPOSIBLE","IMPOSIBLE",IF(N17=J17,"si","NO"))</f>
        <v>NO</v>
      </c>
      <c r="P17" s="6" t="s">
        <v>57</v>
      </c>
      <c r="Q17" s="9" t="n">
        <v>25</v>
      </c>
      <c r="R17" s="9" t="n">
        <v>0</v>
      </c>
      <c r="S17" s="10" t="n">
        <f aca="false">IF(Q17=0,"n/d",R17/Q17)</f>
        <v>0</v>
      </c>
      <c r="T17" s="6" t="str">
        <f aca="false">IF(OR(Q17="",R17=""),"",IF(R17&gt;Q17,"IMPOSIBLE",IF(R17=0,"1",IF(R17/Q17&lt;=0.2,"P","0"))))</f>
        <v>1</v>
      </c>
      <c r="U17" s="6" t="str">
        <f aca="false">IF(T17="IMPOSIBLE","IMPOSIBLE",IF(T17=P17,"si","NO"))</f>
        <v>si</v>
      </c>
      <c r="V17" s="6" t="s">
        <v>56</v>
      </c>
      <c r="W17" s="9" t="n">
        <v>25</v>
      </c>
      <c r="X17" s="9" t="n">
        <v>6</v>
      </c>
      <c r="Y17" s="10" t="n">
        <f aca="false">IF(W17=0,"n/d",X17/W17)</f>
        <v>0.24</v>
      </c>
      <c r="Z17" s="6" t="str">
        <f aca="false">IF(OR(W17="",X17=""),"",IF(X17&gt;W17,"IMPOSIBLE",IF(X17=0,"1",IF(X17/W17&lt;=0.2,"P","0"))))</f>
        <v>0</v>
      </c>
      <c r="AA17" s="6" t="str">
        <f aca="false">IF(Z17="IMPOSIBLE","IMPOSIBLE",IF(Z17=V17,"si","NO"))</f>
        <v>si</v>
      </c>
      <c r="AB17" s="6" t="n">
        <v>5</v>
      </c>
      <c r="AC17" s="8" t="s">
        <v>132</v>
      </c>
      <c r="AD17" s="8" t="s">
        <v>133</v>
      </c>
    </row>
    <row r="18" customFormat="false" ht="23.85" hidden="false" customHeight="false" outlineLevel="0" collapsed="false">
      <c r="A18" s="6" t="n">
        <v>22</v>
      </c>
      <c r="B18" s="6" t="s">
        <v>48</v>
      </c>
      <c r="C18" s="7" t="s">
        <v>69</v>
      </c>
      <c r="D18" s="7" t="s">
        <v>126</v>
      </c>
      <c r="E18" s="7" t="s">
        <v>127</v>
      </c>
      <c r="F18" s="7" t="s">
        <v>128</v>
      </c>
      <c r="G18" s="6" t="s">
        <v>130</v>
      </c>
      <c r="H18" s="6" t="s">
        <v>134</v>
      </c>
      <c r="I18" s="8" t="s">
        <v>131</v>
      </c>
      <c r="J18" s="6" t="s">
        <v>56</v>
      </c>
      <c r="K18" s="9" t="n">
        <v>25</v>
      </c>
      <c r="L18" s="9" t="n">
        <v>9</v>
      </c>
      <c r="M18" s="10" t="n">
        <f aca="false">IF(K18=0,"n/d",L18/K18)</f>
        <v>0.36</v>
      </c>
      <c r="N18" s="6" t="str">
        <f aca="false">IF(OR(K18="",L18=""),"",IF(L18&gt;K18,"IMPOSIBLE",IF(L18=0,"1",IF(L18/K18&lt;=0.2,"P","0"))))</f>
        <v>0</v>
      </c>
      <c r="O18" s="6" t="str">
        <f aca="false">IF(N18="IMPOSIBLE","IMPOSIBLE",IF(N18=J18,"si","NO"))</f>
        <v>si</v>
      </c>
      <c r="P18" s="6" t="s">
        <v>63</v>
      </c>
      <c r="Q18" s="9" t="n">
        <v>25</v>
      </c>
      <c r="R18" s="9" t="n">
        <v>18</v>
      </c>
      <c r="S18" s="10" t="n">
        <f aca="false">IF(Q18=0,"n/d",R18/Q18)</f>
        <v>0.72</v>
      </c>
      <c r="T18" s="6" t="str">
        <f aca="false">IF(OR(Q18="",R18=""),"",IF(R18&gt;Q18,"IMPOSIBLE",IF(R18=0,"1",IF(R18/Q18&lt;=0.2,"P","0"))))</f>
        <v>0</v>
      </c>
      <c r="U18" s="6" t="str">
        <f aca="false">IF(T18="IMPOSIBLE","IMPOSIBLE",IF(T18=P18,"si","NO"))</f>
        <v>NO</v>
      </c>
      <c r="V18" s="6" t="s">
        <v>56</v>
      </c>
      <c r="W18" s="9" t="n">
        <v>25</v>
      </c>
      <c r="X18" s="9" t="n">
        <v>6</v>
      </c>
      <c r="Y18" s="10" t="n">
        <f aca="false">IF(W18=0,"n/d",X18/W18)</f>
        <v>0.24</v>
      </c>
      <c r="Z18" s="6" t="str">
        <f aca="false">IF(OR(W18="",X18=""),"",IF(X18&gt;W18,"IMPOSIBLE",IF(X18=0,"1",IF(X18/W18&lt;=0.2,"P","0"))))</f>
        <v>0</v>
      </c>
      <c r="AA18" s="6" t="str">
        <f aca="false">IF(Z18="IMPOSIBLE","IMPOSIBLE",IF(Z18=V18,"si","NO"))</f>
        <v>si</v>
      </c>
      <c r="AB18" s="6" t="n">
        <v>5</v>
      </c>
      <c r="AC18" s="8" t="s">
        <v>135</v>
      </c>
      <c r="AD18" s="8" t="s">
        <v>133</v>
      </c>
    </row>
    <row r="19" customFormat="false" ht="23.85" hidden="false" customHeight="false" outlineLevel="0" collapsed="false">
      <c r="A19" s="6" t="n">
        <v>95</v>
      </c>
      <c r="B19" s="6" t="s">
        <v>88</v>
      </c>
      <c r="C19" s="7" t="s">
        <v>89</v>
      </c>
      <c r="D19" s="7" t="s">
        <v>136</v>
      </c>
      <c r="E19" s="7" t="s">
        <v>137</v>
      </c>
      <c r="F19" s="7" t="s">
        <v>52</v>
      </c>
      <c r="G19" s="6" t="s">
        <v>138</v>
      </c>
      <c r="H19" s="6" t="s">
        <v>139</v>
      </c>
      <c r="I19" s="8" t="s">
        <v>131</v>
      </c>
      <c r="J19" s="6" t="s">
        <v>56</v>
      </c>
      <c r="K19" s="9" t="n">
        <v>4</v>
      </c>
      <c r="L19" s="9" t="n">
        <v>7</v>
      </c>
      <c r="M19" s="10" t="n">
        <f aca="false">IF(K19=0,"n/d",L19/K19)</f>
        <v>1.75</v>
      </c>
      <c r="N19" s="6" t="str">
        <f aca="false">IF(OR(K19="",L19=""),"",IF(L19&gt;K19,"IMPOSIBLE",IF(L19=0,"1",IF(L19/K19&lt;=0.2,"P","0"))))</f>
        <v>IMPOSIBLE</v>
      </c>
      <c r="O19" s="6" t="str">
        <f aca="false">IF(N19="IMPOSIBLE","IMPOSIBLE",IF(N19=J19,"si","NO"))</f>
        <v>IMPOSIBLE</v>
      </c>
      <c r="P19" s="6" t="s">
        <v>57</v>
      </c>
      <c r="Q19" s="9" t="n">
        <v>8</v>
      </c>
      <c r="R19" s="9" t="n">
        <v>0</v>
      </c>
      <c r="S19" s="10" t="n">
        <f aca="false">IF(Q19=0,"n/d",R19/Q19)</f>
        <v>0</v>
      </c>
      <c r="T19" s="6" t="str">
        <f aca="false">IF(OR(Q19="",R19=""),"",IF(R19&gt;Q19,"IMPOSIBLE",IF(R19=0,"1",IF(R19/Q19&lt;=0.2,"P","0"))))</f>
        <v>1</v>
      </c>
      <c r="U19" s="6" t="str">
        <f aca="false">IF(T19="IMPOSIBLE","IMPOSIBLE",IF(T19=P19,"si","NO"))</f>
        <v>si</v>
      </c>
      <c r="V19" s="6" t="s">
        <v>56</v>
      </c>
      <c r="W19" s="9" t="n">
        <v>33</v>
      </c>
      <c r="X19" s="9" t="n">
        <v>22</v>
      </c>
      <c r="Y19" s="10" t="n">
        <f aca="false">IF(W19=0,"n/d",X19/W19)</f>
        <v>0.666666666666667</v>
      </c>
      <c r="Z19" s="6" t="str">
        <f aca="false">IF(OR(W19="",X19=""),"",IF(X19&gt;W19,"IMPOSIBLE",IF(X19=0,"1",IF(X19/W19&lt;=0.2,"P","0"))))</f>
        <v>0</v>
      </c>
      <c r="AA19" s="6" t="str">
        <f aca="false">IF(Z19="IMPOSIBLE","IMPOSIBLE",IF(Z19=V19,"si","NO"))</f>
        <v>si</v>
      </c>
      <c r="AB19" s="6" t="n">
        <v>19</v>
      </c>
      <c r="AC19" s="8" t="s">
        <v>140</v>
      </c>
      <c r="AD19" s="8" t="s">
        <v>141</v>
      </c>
    </row>
    <row r="20" customFormat="false" ht="23.85" hidden="false" customHeight="false" outlineLevel="0" collapsed="false">
      <c r="A20" s="6" t="n">
        <v>96</v>
      </c>
      <c r="B20" s="6" t="s">
        <v>88</v>
      </c>
      <c r="C20" s="7" t="s">
        <v>99</v>
      </c>
      <c r="D20" s="7" t="s">
        <v>136</v>
      </c>
      <c r="E20" s="7" t="s">
        <v>137</v>
      </c>
      <c r="F20" s="7" t="s">
        <v>79</v>
      </c>
      <c r="G20" s="6" t="s">
        <v>142</v>
      </c>
      <c r="H20" s="6" t="s">
        <v>143</v>
      </c>
      <c r="I20" s="8" t="s">
        <v>131</v>
      </c>
      <c r="J20" s="6" t="s">
        <v>56</v>
      </c>
      <c r="K20" s="9" t="n">
        <v>0</v>
      </c>
      <c r="L20" s="9" t="n">
        <v>7</v>
      </c>
      <c r="M20" s="10" t="str">
        <f aca="false">IF(K20=0,"n/d",L20/K20)</f>
        <v>n/d</v>
      </c>
      <c r="N20" s="6" t="str">
        <f aca="false">IF(OR(K20="",L20=""),"",IF(L20&gt;K20,"IMPOSIBLE",IF(L20=0,"1",IF(L20/K20&lt;=0.2,"P","0"))))</f>
        <v>IMPOSIBLE</v>
      </c>
      <c r="O20" s="6" t="str">
        <f aca="false">IF(N20="IMPOSIBLE","IMPOSIBLE",IF(N20=J20,"si","NO"))</f>
        <v>IMPOSIBLE</v>
      </c>
      <c r="P20" s="6" t="s">
        <v>56</v>
      </c>
      <c r="Q20" s="9" t="n">
        <v>12</v>
      </c>
      <c r="R20" s="9" t="n">
        <v>11</v>
      </c>
      <c r="S20" s="10" t="n">
        <f aca="false">IF(Q20=0,"n/d",R20/Q20)</f>
        <v>0.916666666666667</v>
      </c>
      <c r="T20" s="6" t="str">
        <f aca="false">IF(OR(Q20="",R20=""),"",IF(R20&gt;Q20,"IMPOSIBLE",IF(R20=0,"1",IF(R20/Q20&lt;=0.2,"P","0"))))</f>
        <v>0</v>
      </c>
      <c r="U20" s="6" t="str">
        <f aca="false">IF(T20="IMPOSIBLE","IMPOSIBLE",IF(T20=P20,"si","NO"))</f>
        <v>si</v>
      </c>
      <c r="V20" s="6" t="s">
        <v>56</v>
      </c>
      <c r="W20" s="9" t="n">
        <v>74</v>
      </c>
      <c r="X20" s="9" t="n">
        <v>26</v>
      </c>
      <c r="Y20" s="10" t="n">
        <f aca="false">IF(W20=0,"n/d",X20/W20)</f>
        <v>0.351351351351351</v>
      </c>
      <c r="Z20" s="6" t="str">
        <f aca="false">IF(OR(W20="",X20=""),"",IF(X20&gt;W20,"IMPOSIBLE",IF(X20=0,"1",IF(X20/W20&lt;=0.2,"P","0"))))</f>
        <v>0</v>
      </c>
      <c r="AA20" s="6" t="str">
        <f aca="false">IF(Z20="IMPOSIBLE","IMPOSIBLE",IF(Z20=V20,"si","NO"))</f>
        <v>si</v>
      </c>
      <c r="AB20" s="6" t="n">
        <v>19</v>
      </c>
      <c r="AC20" s="8" t="s">
        <v>144</v>
      </c>
      <c r="AD20" s="8" t="s">
        <v>141</v>
      </c>
    </row>
    <row r="21" customFormat="false" ht="46.25" hidden="false" customHeight="false" outlineLevel="0" collapsed="false">
      <c r="A21" s="6" t="n">
        <v>7</v>
      </c>
      <c r="B21" s="6" t="s">
        <v>48</v>
      </c>
      <c r="C21" s="7" t="s">
        <v>49</v>
      </c>
      <c r="D21" s="7" t="s">
        <v>145</v>
      </c>
      <c r="E21" s="7" t="s">
        <v>146</v>
      </c>
      <c r="F21" s="7" t="s">
        <v>79</v>
      </c>
      <c r="G21" s="6" t="s">
        <v>147</v>
      </c>
      <c r="H21" s="6" t="s">
        <v>148</v>
      </c>
      <c r="I21" s="8" t="s">
        <v>149</v>
      </c>
      <c r="J21" s="6" t="s">
        <v>56</v>
      </c>
      <c r="K21" s="9" t="n">
        <v>20</v>
      </c>
      <c r="L21" s="9" t="n">
        <v>7</v>
      </c>
      <c r="M21" s="10" t="n">
        <f aca="false">IF(K21=0,"n/d",L21/K21)</f>
        <v>0.35</v>
      </c>
      <c r="N21" s="6" t="str">
        <f aca="false">IF(OR(K21="",L21=""),"",IF(L21&gt;K21,"IMPOSIBLE",IF(L21=0,"1",IF(L21/K21&lt;=0.2,"P","0"))))</f>
        <v>0</v>
      </c>
      <c r="O21" s="6" t="str">
        <f aca="false">IF(N21="IMPOSIBLE","IMPOSIBLE",IF(N21=J21,"si","NO"))</f>
        <v>si</v>
      </c>
      <c r="P21" s="6" t="s">
        <v>57</v>
      </c>
      <c r="Q21" s="9" t="n">
        <v>13</v>
      </c>
      <c r="R21" s="9" t="n">
        <v>0</v>
      </c>
      <c r="S21" s="10" t="n">
        <f aca="false">IF(Q21=0,"n/d",R21/Q21)</f>
        <v>0</v>
      </c>
      <c r="T21" s="6" t="str">
        <f aca="false">IF(OR(Q21="",R21=""),"",IF(R21&gt;Q21,"IMPOSIBLE",IF(R21=0,"1",IF(R21/Q21&lt;=0.2,"P","0"))))</f>
        <v>1</v>
      </c>
      <c r="U21" s="6" t="str">
        <f aca="false">IF(T21="IMPOSIBLE","IMPOSIBLE",IF(T21=P21,"si","NO"))</f>
        <v>si</v>
      </c>
      <c r="V21" s="6" t="s">
        <v>63</v>
      </c>
      <c r="W21" s="9" t="n">
        <v>25</v>
      </c>
      <c r="X21" s="9" t="n">
        <v>1</v>
      </c>
      <c r="Y21" s="10" t="n">
        <f aca="false">IF(W21=0,"n/d",X21/W21)</f>
        <v>0.04</v>
      </c>
      <c r="Z21" s="6" t="str">
        <f aca="false">IF(OR(W21="",X21=""),"",IF(X21&gt;W21,"IMPOSIBLE",IF(X21=0,"1",IF(X21/W21&lt;=0.2,"P","0"))))</f>
        <v>P</v>
      </c>
      <c r="AA21" s="6" t="str">
        <f aca="false">IF(Z21="IMPOSIBLE","IMPOSIBLE",IF(Z21=V21,"si","NO"))</f>
        <v>si</v>
      </c>
      <c r="AB21" s="6" t="n">
        <v>11</v>
      </c>
      <c r="AC21" s="8" t="s">
        <v>150</v>
      </c>
      <c r="AD21" s="8" t="s">
        <v>151</v>
      </c>
    </row>
    <row r="22" customFormat="false" ht="35.05" hidden="false" customHeight="false" outlineLevel="0" collapsed="false">
      <c r="A22" s="6" t="n">
        <v>83</v>
      </c>
      <c r="B22" s="6" t="s">
        <v>88</v>
      </c>
      <c r="C22" s="7" t="s">
        <v>152</v>
      </c>
      <c r="D22" s="7" t="s">
        <v>145</v>
      </c>
      <c r="E22" s="7" t="s">
        <v>146</v>
      </c>
      <c r="F22" s="7" t="s">
        <v>79</v>
      </c>
      <c r="G22" s="6" t="s">
        <v>153</v>
      </c>
      <c r="H22" s="6" t="s">
        <v>154</v>
      </c>
      <c r="I22" s="8" t="s">
        <v>155</v>
      </c>
      <c r="J22" s="6" t="s">
        <v>56</v>
      </c>
      <c r="K22" s="9" t="n">
        <v>27</v>
      </c>
      <c r="L22" s="9" t="n">
        <v>6</v>
      </c>
      <c r="M22" s="10" t="n">
        <f aca="false">IF(K22=0,"n/d",L22/K22)</f>
        <v>0.222222222222222</v>
      </c>
      <c r="N22" s="6" t="str">
        <f aca="false">IF(OR(K22="",L22=""),"",IF(L22&gt;K22,"IMPOSIBLE",IF(L22=0,"1",IF(L22/K22&lt;=0.2,"P","0"))))</f>
        <v>0</v>
      </c>
      <c r="O22" s="6" t="str">
        <f aca="false">IF(N22="IMPOSIBLE","IMPOSIBLE",IF(N22=J22,"si","NO"))</f>
        <v>si</v>
      </c>
      <c r="P22" s="6" t="s">
        <v>63</v>
      </c>
      <c r="Q22" s="9" t="n">
        <v>18</v>
      </c>
      <c r="R22" s="9" t="n">
        <v>1</v>
      </c>
      <c r="S22" s="10" t="n">
        <f aca="false">IF(Q22=0,"n/d",R22/Q22)</f>
        <v>0.0555555555555556</v>
      </c>
      <c r="T22" s="6" t="str">
        <f aca="false">IF(OR(Q22="",R22=""),"",IF(R22&gt;Q22,"IMPOSIBLE",IF(R22=0,"1",IF(R22/Q22&lt;=0.2,"P","0"))))</f>
        <v>P</v>
      </c>
      <c r="U22" s="6" t="str">
        <f aca="false">IF(T22="IMPOSIBLE","IMPOSIBLE",IF(T22=P22,"si","NO"))</f>
        <v>si</v>
      </c>
      <c r="V22" s="6" t="s">
        <v>56</v>
      </c>
      <c r="W22" s="9" t="n">
        <v>25</v>
      </c>
      <c r="X22" s="9" t="n">
        <v>8</v>
      </c>
      <c r="Y22" s="10" t="n">
        <f aca="false">IF(W22=0,"n/d",X22/W22)</f>
        <v>0.32</v>
      </c>
      <c r="Z22" s="6" t="str">
        <f aca="false">IF(OR(W22="",X22=""),"",IF(X22&gt;W22,"IMPOSIBLE",IF(X22=0,"1",IF(X22/W22&lt;=0.2,"P","0"))))</f>
        <v>0</v>
      </c>
      <c r="AA22" s="6" t="str">
        <f aca="false">IF(Z22="IMPOSIBLE","IMPOSIBLE",IF(Z22=V22,"si","NO"))</f>
        <v>si</v>
      </c>
      <c r="AB22" s="6" t="n">
        <v>11</v>
      </c>
      <c r="AC22" s="8" t="s">
        <v>156</v>
      </c>
      <c r="AD22" s="8" t="s">
        <v>151</v>
      </c>
    </row>
    <row r="23" customFormat="false" ht="35.05" hidden="false" customHeight="false" outlineLevel="0" collapsed="false">
      <c r="A23" s="6" t="n">
        <v>106</v>
      </c>
      <c r="B23" s="6" t="s">
        <v>88</v>
      </c>
      <c r="C23" s="7" t="s">
        <v>116</v>
      </c>
      <c r="D23" s="7" t="s">
        <v>145</v>
      </c>
      <c r="E23" s="7" t="s">
        <v>146</v>
      </c>
      <c r="F23" s="7" t="s">
        <v>79</v>
      </c>
      <c r="G23" s="6" t="s">
        <v>157</v>
      </c>
      <c r="H23" s="6" t="s">
        <v>158</v>
      </c>
      <c r="I23" s="8" t="s">
        <v>155</v>
      </c>
      <c r="J23" s="6" t="s">
        <v>56</v>
      </c>
      <c r="K23" s="9" t="n">
        <v>26</v>
      </c>
      <c r="L23" s="9" t="n">
        <v>16</v>
      </c>
      <c r="M23" s="10" t="n">
        <f aca="false">IF(K23=0,"n/d",L23/K23)</f>
        <v>0.615384615384615</v>
      </c>
      <c r="N23" s="6" t="str">
        <f aca="false">IF(OR(K23="",L23=""),"",IF(L23&gt;K23,"IMPOSIBLE",IF(L23=0,"1",IF(L23/K23&lt;=0.2,"P","0"))))</f>
        <v>0</v>
      </c>
      <c r="O23" s="6" t="str">
        <f aca="false">IF(N23="IMPOSIBLE","IMPOSIBLE",IF(N23=J23,"si","NO"))</f>
        <v>si</v>
      </c>
      <c r="P23" s="6" t="s">
        <v>63</v>
      </c>
      <c r="Q23" s="9" t="n">
        <v>18</v>
      </c>
      <c r="R23" s="9" t="n">
        <v>1</v>
      </c>
      <c r="S23" s="10" t="n">
        <f aca="false">IF(Q23=0,"n/d",R23/Q23)</f>
        <v>0.0555555555555556</v>
      </c>
      <c r="T23" s="6" t="str">
        <f aca="false">IF(OR(Q23="",R23=""),"",IF(R23&gt;Q23,"IMPOSIBLE",IF(R23=0,"1",IF(R23/Q23&lt;=0.2,"P","0"))))</f>
        <v>P</v>
      </c>
      <c r="U23" s="6" t="str">
        <f aca="false">IF(T23="IMPOSIBLE","IMPOSIBLE",IF(T23=P23,"si","NO"))</f>
        <v>si</v>
      </c>
      <c r="V23" s="6" t="s">
        <v>63</v>
      </c>
      <c r="W23" s="9" t="n">
        <v>25</v>
      </c>
      <c r="X23" s="9" t="n">
        <v>3</v>
      </c>
      <c r="Y23" s="10" t="n">
        <f aca="false">IF(W23=0,"n/d",X23/W23)</f>
        <v>0.12</v>
      </c>
      <c r="Z23" s="6" t="str">
        <f aca="false">IF(OR(W23="",X23=""),"",IF(X23&gt;W23,"IMPOSIBLE",IF(X23=0,"1",IF(X23/W23&lt;=0.2,"P","0"))))</f>
        <v>P</v>
      </c>
      <c r="AA23" s="6" t="str">
        <f aca="false">IF(Z23="IMPOSIBLE","IMPOSIBLE",IF(Z23=V23,"si","NO"))</f>
        <v>si</v>
      </c>
      <c r="AB23" s="6" t="n">
        <v>11</v>
      </c>
      <c r="AC23" s="8" t="s">
        <v>159</v>
      </c>
      <c r="AD23" s="8" t="s">
        <v>151</v>
      </c>
    </row>
    <row r="24" customFormat="false" ht="46.25" hidden="false" customHeight="false" outlineLevel="0" collapsed="false">
      <c r="A24" s="6" t="n">
        <v>103</v>
      </c>
      <c r="B24" s="6" t="s">
        <v>88</v>
      </c>
      <c r="C24" s="7" t="s">
        <v>160</v>
      </c>
      <c r="D24" s="7" t="s">
        <v>161</v>
      </c>
      <c r="E24" s="7" t="s">
        <v>162</v>
      </c>
      <c r="F24" s="7" t="s">
        <v>128</v>
      </c>
      <c r="G24" s="6" t="s">
        <v>163</v>
      </c>
      <c r="H24" s="6" t="s">
        <v>164</v>
      </c>
      <c r="I24" s="8" t="s">
        <v>165</v>
      </c>
      <c r="J24" s="6" t="s">
        <v>56</v>
      </c>
      <c r="K24" s="9" t="n">
        <v>24</v>
      </c>
      <c r="L24" s="9" t="n">
        <v>5</v>
      </c>
      <c r="M24" s="10" t="n">
        <f aca="false">IF(K24=0,"n/d",L24/K24)</f>
        <v>0.208333333333333</v>
      </c>
      <c r="N24" s="6" t="str">
        <f aca="false">IF(OR(K24="",L24=""),"",IF(L24&gt;K24,"IMPOSIBLE",IF(L24=0,"1",IF(L24/K24&lt;=0.2,"P","0"))))</f>
        <v>0</v>
      </c>
      <c r="O24" s="6" t="str">
        <f aca="false">IF(N24="IMPOSIBLE","IMPOSIBLE",IF(N24=J24,"si","NO"))</f>
        <v>si</v>
      </c>
      <c r="P24" s="6" t="s">
        <v>63</v>
      </c>
      <c r="Q24" s="9" t="n">
        <v>15</v>
      </c>
      <c r="R24" s="9" t="n">
        <v>2</v>
      </c>
      <c r="S24" s="10" t="n">
        <f aca="false">IF(Q24=0,"n/d",R24/Q24)</f>
        <v>0.133333333333333</v>
      </c>
      <c r="T24" s="6" t="str">
        <f aca="false">IF(OR(Q24="",R24=""),"",IF(R24&gt;Q24,"IMPOSIBLE",IF(R24=0,"1",IF(R24/Q24&lt;=0.2,"P","0"))))</f>
        <v>P</v>
      </c>
      <c r="U24" s="6" t="str">
        <f aca="false">IF(T24="IMPOSIBLE","IMPOSIBLE",IF(T24=P24,"si","NO"))</f>
        <v>si</v>
      </c>
      <c r="V24" s="6" t="s">
        <v>63</v>
      </c>
      <c r="W24" s="9" t="n">
        <v>25</v>
      </c>
      <c r="X24" s="9" t="n">
        <v>2</v>
      </c>
      <c r="Y24" s="10" t="n">
        <f aca="false">IF(W24=0,"n/d",X24/W24)</f>
        <v>0.08</v>
      </c>
      <c r="Z24" s="6" t="str">
        <f aca="false">IF(OR(W24="",X24=""),"",IF(X24&gt;W24,"IMPOSIBLE",IF(X24=0,"1",IF(X24/W24&lt;=0.2,"P","0"))))</f>
        <v>P</v>
      </c>
      <c r="AA24" s="6" t="str">
        <f aca="false">IF(Z24="IMPOSIBLE","IMPOSIBLE",IF(Z24=V24,"si","NO"))</f>
        <v>si</v>
      </c>
      <c r="AB24" s="6" t="n">
        <v>3</v>
      </c>
      <c r="AC24" s="8" t="s">
        <v>166</v>
      </c>
      <c r="AD24" s="8" t="s">
        <v>167</v>
      </c>
    </row>
    <row r="25" customFormat="false" ht="35.05" hidden="false" customHeight="false" outlineLevel="0" collapsed="false">
      <c r="A25" s="6" t="n">
        <v>58</v>
      </c>
      <c r="B25" s="6" t="s">
        <v>48</v>
      </c>
      <c r="C25" s="7" t="s">
        <v>168</v>
      </c>
      <c r="D25" s="7" t="s">
        <v>169</v>
      </c>
      <c r="E25" s="7" t="s">
        <v>170</v>
      </c>
      <c r="F25" s="7" t="s">
        <v>52</v>
      </c>
      <c r="G25" s="6" t="s">
        <v>80</v>
      </c>
      <c r="H25" s="6" t="s">
        <v>171</v>
      </c>
      <c r="I25" s="8" t="s">
        <v>131</v>
      </c>
      <c r="J25" s="6" t="s">
        <v>63</v>
      </c>
      <c r="K25" s="9" t="n">
        <v>25</v>
      </c>
      <c r="L25" s="9" t="n">
        <v>4</v>
      </c>
      <c r="M25" s="10" t="n">
        <f aca="false">IF(K25=0,"n/d",L25/K25)</f>
        <v>0.16</v>
      </c>
      <c r="N25" s="6" t="str">
        <f aca="false">IF(OR(K25="",L25=""),"",IF(L25&gt;K25,"IMPOSIBLE",IF(L25=0,"1",IF(L25/K25&lt;=0.2,"P","0"))))</f>
        <v>P</v>
      </c>
      <c r="O25" s="6" t="str">
        <f aca="false">IF(N25="IMPOSIBLE","IMPOSIBLE",IF(N25=J25,"si","NO"))</f>
        <v>si</v>
      </c>
      <c r="P25" s="6" t="s">
        <v>56</v>
      </c>
      <c r="Q25" s="9" t="n">
        <v>25</v>
      </c>
      <c r="R25" s="9" t="n">
        <v>4</v>
      </c>
      <c r="S25" s="10" t="n">
        <f aca="false">IF(Q25=0,"n/d",R25/Q25)</f>
        <v>0.16</v>
      </c>
      <c r="T25" s="6" t="str">
        <f aca="false">IF(OR(Q25="",R25=""),"",IF(R25&gt;Q25,"IMPOSIBLE",IF(R25=0,"1",IF(R25/Q25&lt;=0.2,"P","0"))))</f>
        <v>P</v>
      </c>
      <c r="U25" s="6" t="str">
        <f aca="false">IF(T25="IMPOSIBLE","IMPOSIBLE",IF(T25=P25,"si","NO"))</f>
        <v>NO</v>
      </c>
      <c r="V25" s="6" t="s">
        <v>63</v>
      </c>
      <c r="W25" s="9" t="n">
        <v>25</v>
      </c>
      <c r="X25" s="9" t="n">
        <v>4</v>
      </c>
      <c r="Y25" s="10" t="n">
        <f aca="false">IF(W25=0,"n/d",X25/W25)</f>
        <v>0.16</v>
      </c>
      <c r="Z25" s="6" t="str">
        <f aca="false">IF(OR(W25="",X25=""),"",IF(X25&gt;W25,"IMPOSIBLE",IF(X25=0,"1",IF(X25/W25&lt;=0.2,"P","0"))))</f>
        <v>P</v>
      </c>
      <c r="AA25" s="6" t="str">
        <f aca="false">IF(Z25="IMPOSIBLE","IMPOSIBLE",IF(Z25=V25,"si","NO"))</f>
        <v>si</v>
      </c>
      <c r="AB25" s="6" t="n">
        <v>8</v>
      </c>
      <c r="AC25" s="8" t="s">
        <v>172</v>
      </c>
      <c r="AD25" s="8" t="s">
        <v>173</v>
      </c>
    </row>
    <row r="26" customFormat="false" ht="23.85" hidden="false" customHeight="false" outlineLevel="0" collapsed="false">
      <c r="A26" s="6" t="n">
        <v>114</v>
      </c>
      <c r="B26" s="6" t="s">
        <v>88</v>
      </c>
      <c r="C26" s="7" t="s">
        <v>123</v>
      </c>
      <c r="D26" s="7" t="s">
        <v>169</v>
      </c>
      <c r="E26" s="7" t="s">
        <v>170</v>
      </c>
      <c r="F26" s="7" t="s">
        <v>52</v>
      </c>
      <c r="G26" s="6" t="s">
        <v>120</v>
      </c>
      <c r="H26" s="6" t="s">
        <v>174</v>
      </c>
      <c r="I26" s="8" t="s">
        <v>131</v>
      </c>
      <c r="J26" s="6" t="s">
        <v>63</v>
      </c>
      <c r="K26" s="9" t="n">
        <v>24</v>
      </c>
      <c r="L26" s="9" t="n">
        <v>10</v>
      </c>
      <c r="M26" s="10" t="n">
        <f aca="false">IF(K26=0,"n/d",L26/K26)</f>
        <v>0.416666666666667</v>
      </c>
      <c r="N26" s="6" t="str">
        <f aca="false">IF(OR(K26="",L26=""),"",IF(L26&gt;K26,"IMPOSIBLE",IF(L26=0,"1",IF(L26/K26&lt;=0.2,"P","0"))))</f>
        <v>0</v>
      </c>
      <c r="O26" s="6" t="str">
        <f aca="false">IF(N26="IMPOSIBLE","IMPOSIBLE",IF(N26=J26,"si","NO"))</f>
        <v>NO</v>
      </c>
      <c r="P26" s="6" t="s">
        <v>56</v>
      </c>
      <c r="Q26" s="9" t="n">
        <v>24</v>
      </c>
      <c r="R26" s="9" t="n">
        <v>10</v>
      </c>
      <c r="S26" s="10" t="n">
        <f aca="false">IF(Q26=0,"n/d",R26/Q26)</f>
        <v>0.416666666666667</v>
      </c>
      <c r="T26" s="6" t="str">
        <f aca="false">IF(OR(Q26="",R26=""),"",IF(R26&gt;Q26,"IMPOSIBLE",IF(R26=0,"1",IF(R26/Q26&lt;=0.2,"P","0"))))</f>
        <v>0</v>
      </c>
      <c r="U26" s="6" t="str">
        <f aca="false">IF(T26="IMPOSIBLE","IMPOSIBLE",IF(T26=P26,"si","NO"))</f>
        <v>si</v>
      </c>
      <c r="V26" s="6" t="s">
        <v>56</v>
      </c>
      <c r="W26" s="9" t="n">
        <v>24</v>
      </c>
      <c r="X26" s="9" t="n">
        <v>10</v>
      </c>
      <c r="Y26" s="10" t="n">
        <f aca="false">IF(W26=0,"n/d",X26/W26)</f>
        <v>0.416666666666667</v>
      </c>
      <c r="Z26" s="6" t="str">
        <f aca="false">IF(OR(W26="",X26=""),"",IF(X26&gt;W26,"IMPOSIBLE",IF(X26=0,"1",IF(X26/W26&lt;=0.2,"P","0"))))</f>
        <v>0</v>
      </c>
      <c r="AA26" s="6" t="str">
        <f aca="false">IF(Z26="IMPOSIBLE","IMPOSIBLE",IF(Z26=V26,"si","NO"))</f>
        <v>si</v>
      </c>
      <c r="AB26" s="6" t="n">
        <v>8</v>
      </c>
      <c r="AC26" s="8" t="s">
        <v>175</v>
      </c>
      <c r="AD26" s="8" t="s">
        <v>173</v>
      </c>
    </row>
    <row r="27" customFormat="false" ht="23.85" hidden="false" customHeight="false" outlineLevel="0" collapsed="false">
      <c r="A27" s="6" t="n">
        <v>124</v>
      </c>
      <c r="B27" s="6" t="s">
        <v>88</v>
      </c>
      <c r="C27" s="7" t="s">
        <v>176</v>
      </c>
      <c r="D27" s="7" t="s">
        <v>169</v>
      </c>
      <c r="E27" s="7" t="s">
        <v>170</v>
      </c>
      <c r="F27" s="7" t="s">
        <v>52</v>
      </c>
      <c r="G27" s="6" t="s">
        <v>100</v>
      </c>
      <c r="H27" s="6" t="s">
        <v>177</v>
      </c>
      <c r="I27" s="8" t="s">
        <v>131</v>
      </c>
      <c r="J27" s="6" t="s">
        <v>63</v>
      </c>
      <c r="K27" s="9" t="n">
        <v>25</v>
      </c>
      <c r="L27" s="9" t="n">
        <v>1</v>
      </c>
      <c r="M27" s="10" t="n">
        <f aca="false">IF(K27=0,"n/d",L27/K27)</f>
        <v>0.04</v>
      </c>
      <c r="N27" s="6" t="str">
        <f aca="false">IF(OR(K27="",L27=""),"",IF(L27&gt;K27,"IMPOSIBLE",IF(L27=0,"1",IF(L27/K27&lt;=0.2,"P","0"))))</f>
        <v>P</v>
      </c>
      <c r="O27" s="6" t="str">
        <f aca="false">IF(N27="IMPOSIBLE","IMPOSIBLE",IF(N27=J27,"si","NO"))</f>
        <v>si</v>
      </c>
      <c r="P27" s="6" t="s">
        <v>57</v>
      </c>
      <c r="Q27" s="9" t="n">
        <v>25</v>
      </c>
      <c r="R27" s="9" t="n">
        <v>1</v>
      </c>
      <c r="S27" s="10" t="n">
        <f aca="false">IF(Q27=0,"n/d",R27/Q27)</f>
        <v>0.04</v>
      </c>
      <c r="T27" s="6" t="str">
        <f aca="false">IF(OR(Q27="",R27=""),"",IF(R27&gt;Q27,"IMPOSIBLE",IF(R27=0,"1",IF(R27/Q27&lt;=0.2,"P","0"))))</f>
        <v>P</v>
      </c>
      <c r="U27" s="6" t="str">
        <f aca="false">IF(T27="IMPOSIBLE","IMPOSIBLE",IF(T27=P27,"si","NO"))</f>
        <v>NO</v>
      </c>
      <c r="V27" s="6" t="s">
        <v>63</v>
      </c>
      <c r="W27" s="9" t="n">
        <v>25</v>
      </c>
      <c r="X27" s="9" t="n">
        <v>1</v>
      </c>
      <c r="Y27" s="10" t="n">
        <f aca="false">IF(W27=0,"n/d",X27/W27)</f>
        <v>0.04</v>
      </c>
      <c r="Z27" s="6" t="str">
        <f aca="false">IF(OR(W27="",X27=""),"",IF(X27&gt;W27,"IMPOSIBLE",IF(X27=0,"1",IF(X27/W27&lt;=0.2,"P","0"))))</f>
        <v>P</v>
      </c>
      <c r="AA27" s="6" t="str">
        <f aca="false">IF(Z27="IMPOSIBLE","IMPOSIBLE",IF(Z27=V27,"si","NO"))</f>
        <v>si</v>
      </c>
      <c r="AB27" s="6" t="n">
        <v>8</v>
      </c>
      <c r="AC27" s="8" t="s">
        <v>178</v>
      </c>
      <c r="AD27" s="8" t="s">
        <v>173</v>
      </c>
    </row>
  </sheetData>
  <autoFilter ref="A1:AD27"/>
  <conditionalFormatting sqref="O2:O27">
    <cfRule type="cellIs" priority="2" operator="equal" aboveAverage="0" equalAverage="0" bottom="0" percent="0" rank="0" text="" dxfId="6">
      <formula>"si"</formula>
    </cfRule>
    <cfRule type="cellIs" priority="3" operator="equal" aboveAverage="0" equalAverage="0" bottom="0" percent="0" rank="0" text="" dxfId="7">
      <formula>"NO"</formula>
    </cfRule>
    <cfRule type="cellIs" priority="4" operator="equal" aboveAverage="0" equalAverage="0" bottom="0" percent="0" rank="0" text="" dxfId="7">
      <formula>"IMPOSIBLE"</formula>
    </cfRule>
  </conditionalFormatting>
  <conditionalFormatting sqref="U2:U27">
    <cfRule type="cellIs" priority="5" operator="equal" aboveAverage="0" equalAverage="0" bottom="0" percent="0" rank="0" text="" dxfId="6">
      <formula>"si"</formula>
    </cfRule>
    <cfRule type="cellIs" priority="6" operator="equal" aboveAverage="0" equalAverage="0" bottom="0" percent="0" rank="0" text="" dxfId="7">
      <formula>"NO"</formula>
    </cfRule>
    <cfRule type="cellIs" priority="7" operator="equal" aboveAverage="0" equalAverage="0" bottom="0" percent="0" rank="0" text="" dxfId="7">
      <formula>"IMPOSIBLE"</formula>
    </cfRule>
  </conditionalFormatting>
  <conditionalFormatting sqref="AA2:AA27">
    <cfRule type="cellIs" priority="8" operator="equal" aboveAverage="0" equalAverage="0" bottom="0" percent="0" rank="0" text="" dxfId="6">
      <formula>"si"</formula>
    </cfRule>
    <cfRule type="cellIs" priority="9" operator="equal" aboveAverage="0" equalAverage="0" bottom="0" percent="0" rank="0" text="" dxfId="7">
      <formula>"NO"</formula>
    </cfRule>
    <cfRule type="cellIs" priority="10" operator="equal" aboveAverage="0" equalAverage="0" bottom="0" percent="0" rank="0" text="" dxfId="7">
      <formula>"IMPOSIBLE"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4"/>
    <col collapsed="false" customWidth="true" hidden="false" outlineLevel="0" max="4" min="4" style="0" width="34"/>
    <col collapsed="false" customWidth="true" hidden="false" outlineLevel="0" max="5" min="5" style="0" width="13"/>
    <col collapsed="false" customWidth="true" hidden="false" outlineLevel="0" max="6" min="6" style="0" width="30"/>
    <col collapsed="false" customWidth="true" hidden="false" outlineLevel="0" max="7" min="7" style="0" width="24"/>
    <col collapsed="false" customWidth="true" hidden="false" outlineLevel="0" max="8" min="8" style="0" width="8"/>
    <col collapsed="false" customWidth="true" hidden="false" outlineLevel="0" max="10" min="9" style="0" width="6"/>
    <col collapsed="false" customWidth="true" hidden="false" outlineLevel="0" max="11" min="11" style="0" width="8"/>
    <col collapsed="false" customWidth="true" hidden="false" outlineLevel="0" max="13" min="12" style="0" width="6"/>
    <col collapsed="false" customWidth="true" hidden="false" outlineLevel="0" max="14" min="14" style="0" width="8"/>
    <col collapsed="false" customWidth="true" hidden="false" outlineLevel="0" max="16" min="15" style="0" width="6"/>
    <col collapsed="false" customWidth="true" hidden="false" outlineLevel="0" max="17" min="17" style="0" width="26"/>
    <col collapsed="false" customWidth="true" hidden="false" outlineLevel="0" max="18" min="18" style="0" width="100"/>
  </cols>
  <sheetData>
    <row r="1" customFormat="false" ht="42" hidden="false" customHeight="true" outlineLevel="0" collapsed="false">
      <c r="A1" s="5" t="s">
        <v>28</v>
      </c>
      <c r="B1" s="5" t="s">
        <v>29</v>
      </c>
      <c r="C1" s="5" t="s">
        <v>30</v>
      </c>
      <c r="D1" s="5" t="s">
        <v>179</v>
      </c>
      <c r="E1" s="5" t="s">
        <v>180</v>
      </c>
      <c r="F1" s="5" t="s">
        <v>32</v>
      </c>
      <c r="G1" s="5" t="s">
        <v>181</v>
      </c>
      <c r="H1" s="5" t="s">
        <v>182</v>
      </c>
      <c r="I1" s="5" t="s">
        <v>38</v>
      </c>
      <c r="J1" s="5" t="s">
        <v>39</v>
      </c>
      <c r="K1" s="5" t="s">
        <v>183</v>
      </c>
      <c r="L1" s="5" t="s">
        <v>38</v>
      </c>
      <c r="M1" s="5" t="s">
        <v>39</v>
      </c>
      <c r="N1" s="5" t="s">
        <v>184</v>
      </c>
      <c r="O1" s="5" t="s">
        <v>38</v>
      </c>
      <c r="P1" s="5" t="s">
        <v>39</v>
      </c>
      <c r="Q1" s="5" t="s">
        <v>185</v>
      </c>
      <c r="R1" s="5" t="s">
        <v>186</v>
      </c>
    </row>
    <row r="2" customFormat="false" ht="35.05" hidden="false" customHeight="false" outlineLevel="0" collapsed="false">
      <c r="A2" s="6" t="n">
        <v>7</v>
      </c>
      <c r="B2" s="6" t="s">
        <v>48</v>
      </c>
      <c r="C2" s="7" t="s">
        <v>49</v>
      </c>
      <c r="D2" s="8" t="s">
        <v>187</v>
      </c>
      <c r="E2" s="7" t="s">
        <v>50</v>
      </c>
      <c r="F2" s="7" t="s">
        <v>51</v>
      </c>
      <c r="G2" s="11" t="s">
        <v>188</v>
      </c>
      <c r="H2" s="6" t="s">
        <v>56</v>
      </c>
      <c r="I2" s="9" t="n">
        <v>10</v>
      </c>
      <c r="J2" s="9" t="n">
        <v>7</v>
      </c>
      <c r="K2" s="6" t="s">
        <v>57</v>
      </c>
      <c r="L2" s="9" t="n">
        <v>7</v>
      </c>
      <c r="M2" s="9" t="n">
        <v>0</v>
      </c>
      <c r="N2" s="6" t="s">
        <v>57</v>
      </c>
      <c r="O2" s="9" t="n">
        <v>9</v>
      </c>
      <c r="P2" s="9" t="n">
        <v>0</v>
      </c>
      <c r="Q2" s="8" t="s">
        <v>145</v>
      </c>
      <c r="R2" s="8" t="s">
        <v>189</v>
      </c>
    </row>
    <row r="3" customFormat="false" ht="15" hidden="false" customHeight="false" outlineLevel="0" collapsed="false">
      <c r="A3" s="6" t="n">
        <v>14</v>
      </c>
      <c r="B3" s="6" t="s">
        <v>48</v>
      </c>
      <c r="C3" s="7" t="s">
        <v>60</v>
      </c>
      <c r="D3" s="8" t="s">
        <v>190</v>
      </c>
      <c r="E3" s="7" t="s">
        <v>50</v>
      </c>
      <c r="F3" s="7" t="s">
        <v>51</v>
      </c>
      <c r="G3" s="11" t="s">
        <v>188</v>
      </c>
      <c r="H3" s="6" t="s">
        <v>57</v>
      </c>
      <c r="I3" s="9" t="n">
        <v>5</v>
      </c>
      <c r="J3" s="9" t="n">
        <v>0</v>
      </c>
      <c r="K3" s="6" t="s">
        <v>57</v>
      </c>
      <c r="L3" s="9" t="n">
        <v>4</v>
      </c>
      <c r="M3" s="9" t="n">
        <v>0</v>
      </c>
      <c r="N3" s="6" t="s">
        <v>63</v>
      </c>
      <c r="O3" s="9" t="n">
        <v>16</v>
      </c>
      <c r="P3" s="9" t="n">
        <v>2</v>
      </c>
      <c r="Q3" s="8" t="s">
        <v>191</v>
      </c>
      <c r="R3" s="8" t="s">
        <v>192</v>
      </c>
    </row>
    <row r="4" customFormat="false" ht="23.85" hidden="false" customHeight="false" outlineLevel="0" collapsed="false">
      <c r="A4" s="6" t="n">
        <v>15</v>
      </c>
      <c r="B4" s="6" t="s">
        <v>48</v>
      </c>
      <c r="C4" s="7" t="s">
        <v>65</v>
      </c>
      <c r="D4" s="8" t="s">
        <v>193</v>
      </c>
      <c r="E4" s="7" t="s">
        <v>50</v>
      </c>
      <c r="F4" s="7" t="s">
        <v>51</v>
      </c>
      <c r="G4" s="11" t="s">
        <v>188</v>
      </c>
      <c r="H4" s="6" t="s">
        <v>63</v>
      </c>
      <c r="I4" s="9" t="n">
        <v>10</v>
      </c>
      <c r="J4" s="9" t="n">
        <v>2</v>
      </c>
      <c r="K4" s="6" t="s">
        <v>57</v>
      </c>
      <c r="L4" s="9" t="n">
        <v>5</v>
      </c>
      <c r="M4" s="9" t="n">
        <v>0</v>
      </c>
      <c r="N4" s="6" t="s">
        <v>63</v>
      </c>
      <c r="O4" s="9" t="n">
        <v>10</v>
      </c>
      <c r="P4" s="9" t="n">
        <v>2</v>
      </c>
      <c r="Q4" s="8" t="s">
        <v>126</v>
      </c>
      <c r="R4" s="8" t="s">
        <v>194</v>
      </c>
    </row>
    <row r="5" customFormat="false" ht="23.85" hidden="false" customHeight="false" outlineLevel="0" collapsed="false">
      <c r="A5" s="6" t="n">
        <v>22</v>
      </c>
      <c r="B5" s="6" t="s">
        <v>48</v>
      </c>
      <c r="C5" s="7" t="s">
        <v>69</v>
      </c>
      <c r="D5" s="8" t="s">
        <v>195</v>
      </c>
      <c r="E5" s="7" t="s">
        <v>50</v>
      </c>
      <c r="F5" s="7" t="s">
        <v>51</v>
      </c>
      <c r="G5" s="11" t="s">
        <v>196</v>
      </c>
      <c r="H5" s="6" t="s">
        <v>63</v>
      </c>
      <c r="I5" s="9" t="n">
        <v>11</v>
      </c>
      <c r="J5" s="9" t="n">
        <v>1</v>
      </c>
      <c r="K5" s="6" t="s">
        <v>56</v>
      </c>
      <c r="L5" s="9" t="n">
        <v>3</v>
      </c>
      <c r="M5" s="9" t="n">
        <v>1</v>
      </c>
      <c r="N5" s="6" t="s">
        <v>56</v>
      </c>
      <c r="O5" s="9" t="n">
        <v>11</v>
      </c>
      <c r="P5" s="9" t="n">
        <v>3</v>
      </c>
      <c r="Q5" s="8" t="s">
        <v>126</v>
      </c>
      <c r="R5" s="8" t="s">
        <v>197</v>
      </c>
    </row>
    <row r="6" customFormat="false" ht="23.85" hidden="false" customHeight="false" outlineLevel="0" collapsed="false">
      <c r="A6" s="6" t="n">
        <v>29</v>
      </c>
      <c r="B6" s="6" t="s">
        <v>48</v>
      </c>
      <c r="C6" s="7" t="s">
        <v>73</v>
      </c>
      <c r="D6" s="8" t="s">
        <v>198</v>
      </c>
      <c r="E6" s="7" t="s">
        <v>50</v>
      </c>
      <c r="F6" s="7" t="s">
        <v>51</v>
      </c>
      <c r="G6" s="11" t="s">
        <v>188</v>
      </c>
      <c r="H6" s="6" t="s">
        <v>57</v>
      </c>
      <c r="I6" s="9" t="n">
        <v>11</v>
      </c>
      <c r="J6" s="9" t="n">
        <v>0</v>
      </c>
      <c r="K6" s="6" t="s">
        <v>57</v>
      </c>
      <c r="L6" s="9" t="n">
        <v>5</v>
      </c>
      <c r="M6" s="9" t="n">
        <v>0</v>
      </c>
      <c r="N6" s="6" t="s">
        <v>57</v>
      </c>
      <c r="O6" s="9" t="n">
        <v>9</v>
      </c>
      <c r="P6" s="9" t="n">
        <v>0</v>
      </c>
      <c r="Q6" s="8" t="s">
        <v>199</v>
      </c>
      <c r="R6" s="8" t="s">
        <v>200</v>
      </c>
    </row>
    <row r="7" customFormat="false" ht="23.85" hidden="false" customHeight="false" outlineLevel="0" collapsed="false">
      <c r="A7" s="6" t="n">
        <v>40</v>
      </c>
      <c r="B7" s="6" t="s">
        <v>48</v>
      </c>
      <c r="C7" s="7" t="s">
        <v>85</v>
      </c>
      <c r="D7" s="8" t="s">
        <v>201</v>
      </c>
      <c r="E7" s="7" t="s">
        <v>77</v>
      </c>
      <c r="F7" s="7" t="s">
        <v>78</v>
      </c>
      <c r="G7" s="11" t="s">
        <v>188</v>
      </c>
      <c r="H7" s="6" t="s">
        <v>57</v>
      </c>
      <c r="I7" s="9" t="n">
        <v>20</v>
      </c>
      <c r="J7" s="9" t="n">
        <v>0</v>
      </c>
      <c r="K7" s="6" t="s">
        <v>63</v>
      </c>
      <c r="L7" s="9" t="n">
        <v>25</v>
      </c>
      <c r="M7" s="9" t="n">
        <v>2</v>
      </c>
      <c r="N7" s="6" t="s">
        <v>57</v>
      </c>
      <c r="O7" s="9" t="n">
        <v>25</v>
      </c>
      <c r="P7" s="9" t="n">
        <v>0</v>
      </c>
      <c r="Q7" s="8" t="s">
        <v>191</v>
      </c>
      <c r="R7" s="8" t="s">
        <v>202</v>
      </c>
    </row>
    <row r="8" customFormat="false" ht="23.85" hidden="false" customHeight="false" outlineLevel="0" collapsed="false">
      <c r="A8" s="6" t="n">
        <v>58</v>
      </c>
      <c r="B8" s="6" t="s">
        <v>48</v>
      </c>
      <c r="C8" s="7" t="s">
        <v>168</v>
      </c>
      <c r="D8" s="8" t="s">
        <v>203</v>
      </c>
      <c r="E8" s="7" t="s">
        <v>169</v>
      </c>
      <c r="F8" s="7" t="s">
        <v>170</v>
      </c>
      <c r="G8" s="11" t="s">
        <v>204</v>
      </c>
      <c r="H8" s="6" t="s">
        <v>63</v>
      </c>
      <c r="I8" s="9" t="n">
        <v>25</v>
      </c>
      <c r="J8" s="9" t="n">
        <v>4</v>
      </c>
      <c r="K8" s="6" t="s">
        <v>56</v>
      </c>
      <c r="L8" s="9" t="n">
        <v>25</v>
      </c>
      <c r="M8" s="9" t="n">
        <v>4</v>
      </c>
      <c r="N8" s="6" t="s">
        <v>63</v>
      </c>
      <c r="O8" s="9" t="n">
        <v>25</v>
      </c>
      <c r="P8" s="9" t="n">
        <v>4</v>
      </c>
      <c r="Q8" s="8" t="s">
        <v>191</v>
      </c>
      <c r="R8" s="8" t="s">
        <v>205</v>
      </c>
    </row>
    <row r="9" customFormat="false" ht="35.05" hidden="false" customHeight="false" outlineLevel="0" collapsed="false">
      <c r="A9" s="6" t="n">
        <v>83</v>
      </c>
      <c r="B9" s="6" t="s">
        <v>88</v>
      </c>
      <c r="C9" s="7" t="s">
        <v>152</v>
      </c>
      <c r="D9" s="8" t="s">
        <v>206</v>
      </c>
      <c r="E9" s="7" t="s">
        <v>145</v>
      </c>
      <c r="F9" s="7" t="s">
        <v>146</v>
      </c>
      <c r="G9" s="11" t="s">
        <v>196</v>
      </c>
      <c r="H9" s="6" t="s">
        <v>56</v>
      </c>
      <c r="I9" s="9" t="n">
        <v>27</v>
      </c>
      <c r="J9" s="9" t="n">
        <v>6</v>
      </c>
      <c r="K9" s="6" t="s">
        <v>63</v>
      </c>
      <c r="L9" s="9" t="n">
        <v>18</v>
      </c>
      <c r="M9" s="9" t="n">
        <v>1</v>
      </c>
      <c r="N9" s="6" t="s">
        <v>56</v>
      </c>
      <c r="O9" s="9" t="n">
        <v>25</v>
      </c>
      <c r="P9" s="9" t="n">
        <v>8</v>
      </c>
      <c r="Q9" s="8" t="s">
        <v>191</v>
      </c>
      <c r="R9" s="8" t="s">
        <v>207</v>
      </c>
    </row>
    <row r="10" customFormat="false" ht="23.85" hidden="false" customHeight="false" outlineLevel="0" collapsed="false">
      <c r="A10" s="6" t="n">
        <v>95</v>
      </c>
      <c r="B10" s="6" t="s">
        <v>88</v>
      </c>
      <c r="C10" s="7" t="s">
        <v>89</v>
      </c>
      <c r="D10" s="8" t="s">
        <v>208</v>
      </c>
      <c r="E10" s="7" t="s">
        <v>77</v>
      </c>
      <c r="F10" s="7" t="s">
        <v>78</v>
      </c>
      <c r="G10" s="11" t="s">
        <v>196</v>
      </c>
      <c r="H10" s="6" t="s">
        <v>56</v>
      </c>
      <c r="I10" s="9" t="n">
        <v>17</v>
      </c>
      <c r="J10" s="9" t="n">
        <v>7</v>
      </c>
      <c r="K10" s="6" t="s">
        <v>57</v>
      </c>
      <c r="L10" s="9" t="n">
        <v>25</v>
      </c>
      <c r="M10" s="9" t="n">
        <v>0</v>
      </c>
      <c r="N10" s="6" t="s">
        <v>57</v>
      </c>
      <c r="O10" s="9" t="n">
        <v>25</v>
      </c>
      <c r="P10" s="9" t="n">
        <v>0</v>
      </c>
      <c r="Q10" s="8" t="s">
        <v>136</v>
      </c>
      <c r="R10" s="8" t="s">
        <v>209</v>
      </c>
    </row>
    <row r="11" customFormat="false" ht="23.85" hidden="false" customHeight="false" outlineLevel="0" collapsed="false">
      <c r="A11" s="6" t="n">
        <v>96</v>
      </c>
      <c r="B11" s="6" t="s">
        <v>88</v>
      </c>
      <c r="C11" s="7" t="s">
        <v>99</v>
      </c>
      <c r="D11" s="8" t="s">
        <v>210</v>
      </c>
      <c r="E11" s="7" t="s">
        <v>93</v>
      </c>
      <c r="F11" s="7" t="s">
        <v>94</v>
      </c>
      <c r="G11" s="11" t="s">
        <v>196</v>
      </c>
      <c r="H11" s="6" t="s">
        <v>56</v>
      </c>
      <c r="I11" s="9" t="n">
        <v>7</v>
      </c>
      <c r="J11" s="9" t="n">
        <v>2</v>
      </c>
      <c r="K11" s="6" t="s">
        <v>56</v>
      </c>
      <c r="L11" s="9" t="n">
        <v>16</v>
      </c>
      <c r="M11" s="9" t="n">
        <v>4</v>
      </c>
      <c r="N11" s="6" t="s">
        <v>63</v>
      </c>
      <c r="O11" s="9" t="n">
        <v>18</v>
      </c>
      <c r="P11" s="9" t="n">
        <v>2</v>
      </c>
      <c r="Q11" s="8" t="s">
        <v>211</v>
      </c>
      <c r="R11" s="8" t="s">
        <v>212</v>
      </c>
    </row>
    <row r="12" customFormat="false" ht="23.85" hidden="false" customHeight="false" outlineLevel="0" collapsed="false">
      <c r="A12" s="6" t="n">
        <v>102</v>
      </c>
      <c r="B12" s="6" t="s">
        <v>88</v>
      </c>
      <c r="C12" s="7" t="s">
        <v>102</v>
      </c>
      <c r="D12" s="8" t="s">
        <v>213</v>
      </c>
      <c r="E12" s="7" t="s">
        <v>93</v>
      </c>
      <c r="F12" s="7" t="s">
        <v>94</v>
      </c>
      <c r="G12" s="11" t="s">
        <v>188</v>
      </c>
      <c r="H12" s="6" t="s">
        <v>63</v>
      </c>
      <c r="I12" s="9" t="n">
        <v>8</v>
      </c>
      <c r="J12" s="9" t="n">
        <v>1</v>
      </c>
      <c r="K12" s="6" t="s">
        <v>56</v>
      </c>
      <c r="L12" s="9" t="n">
        <v>15</v>
      </c>
      <c r="M12" s="9" t="n">
        <v>6</v>
      </c>
      <c r="N12" s="6" t="s">
        <v>56</v>
      </c>
      <c r="O12" s="9" t="n">
        <v>25</v>
      </c>
      <c r="P12" s="9" t="n">
        <v>10</v>
      </c>
      <c r="Q12" s="8" t="s">
        <v>105</v>
      </c>
      <c r="R12" s="8" t="s">
        <v>214</v>
      </c>
    </row>
    <row r="13" customFormat="false" ht="35.05" hidden="false" customHeight="false" outlineLevel="0" collapsed="false">
      <c r="A13" s="6" t="n">
        <v>103</v>
      </c>
      <c r="B13" s="6" t="s">
        <v>88</v>
      </c>
      <c r="C13" s="7" t="s">
        <v>160</v>
      </c>
      <c r="D13" s="8" t="s">
        <v>215</v>
      </c>
      <c r="E13" s="7" t="s">
        <v>161</v>
      </c>
      <c r="F13" s="7" t="s">
        <v>162</v>
      </c>
      <c r="G13" s="11" t="s">
        <v>196</v>
      </c>
      <c r="H13" s="6" t="s">
        <v>56</v>
      </c>
      <c r="I13" s="9" t="n">
        <v>24</v>
      </c>
      <c r="J13" s="9" t="n">
        <v>5</v>
      </c>
      <c r="K13" s="6" t="s">
        <v>63</v>
      </c>
      <c r="L13" s="9" t="n">
        <v>15</v>
      </c>
      <c r="M13" s="9" t="n">
        <v>2</v>
      </c>
      <c r="N13" s="6" t="s">
        <v>63</v>
      </c>
      <c r="O13" s="9" t="n">
        <v>25</v>
      </c>
      <c r="P13" s="9" t="n">
        <v>2</v>
      </c>
      <c r="Q13" s="8" t="s">
        <v>191</v>
      </c>
      <c r="R13" s="8" t="s">
        <v>216</v>
      </c>
    </row>
    <row r="14" customFormat="false" ht="35.05" hidden="false" customHeight="false" outlineLevel="0" collapsed="false">
      <c r="A14" s="6" t="n">
        <v>106</v>
      </c>
      <c r="B14" s="6" t="s">
        <v>88</v>
      </c>
      <c r="C14" s="7" t="s">
        <v>116</v>
      </c>
      <c r="D14" s="8" t="s">
        <v>217</v>
      </c>
      <c r="E14" s="7" t="s">
        <v>117</v>
      </c>
      <c r="F14" s="7" t="s">
        <v>118</v>
      </c>
      <c r="G14" s="11" t="s">
        <v>196</v>
      </c>
      <c r="H14" s="6" t="s">
        <v>56</v>
      </c>
      <c r="I14" s="9" t="n">
        <v>25</v>
      </c>
      <c r="J14" s="9" t="n">
        <v>7</v>
      </c>
      <c r="K14" s="6" t="s">
        <v>63</v>
      </c>
      <c r="L14" s="9" t="n">
        <v>25</v>
      </c>
      <c r="M14" s="9" t="n">
        <v>4</v>
      </c>
      <c r="N14" s="6" t="s">
        <v>63</v>
      </c>
      <c r="O14" s="9" t="n">
        <v>25</v>
      </c>
      <c r="P14" s="9" t="n">
        <v>3</v>
      </c>
      <c r="Q14" s="8" t="s">
        <v>145</v>
      </c>
      <c r="R14" s="8" t="s">
        <v>218</v>
      </c>
    </row>
    <row r="15" customFormat="false" ht="23.85" hidden="false" customHeight="false" outlineLevel="0" collapsed="false">
      <c r="A15" s="6" t="n">
        <v>114</v>
      </c>
      <c r="B15" s="6" t="s">
        <v>88</v>
      </c>
      <c r="C15" s="7" t="s">
        <v>123</v>
      </c>
      <c r="D15" s="8" t="s">
        <v>219</v>
      </c>
      <c r="E15" s="7" t="s">
        <v>117</v>
      </c>
      <c r="F15" s="7" t="s">
        <v>118</v>
      </c>
      <c r="G15" s="11" t="s">
        <v>196</v>
      </c>
      <c r="H15" s="6" t="s">
        <v>56</v>
      </c>
      <c r="I15" s="9" t="n">
        <v>25</v>
      </c>
      <c r="J15" s="9" t="n">
        <v>6</v>
      </c>
      <c r="K15" s="6" t="s">
        <v>63</v>
      </c>
      <c r="L15" s="9" t="n">
        <v>25</v>
      </c>
      <c r="M15" s="9" t="n">
        <v>4</v>
      </c>
      <c r="N15" s="6" t="s">
        <v>57</v>
      </c>
      <c r="O15" s="9" t="n">
        <v>25</v>
      </c>
      <c r="P15" s="9" t="n">
        <v>0</v>
      </c>
      <c r="Q15" s="8" t="s">
        <v>169</v>
      </c>
      <c r="R15" s="8" t="s">
        <v>220</v>
      </c>
    </row>
    <row r="16" customFormat="false" ht="23.85" hidden="false" customHeight="false" outlineLevel="0" collapsed="false">
      <c r="A16" s="6" t="n">
        <v>124</v>
      </c>
      <c r="B16" s="6" t="s">
        <v>88</v>
      </c>
      <c r="C16" s="7" t="s">
        <v>176</v>
      </c>
      <c r="D16" s="8" t="s">
        <v>221</v>
      </c>
      <c r="E16" s="7" t="s">
        <v>169</v>
      </c>
      <c r="F16" s="7" t="s">
        <v>170</v>
      </c>
      <c r="G16" s="11" t="s">
        <v>204</v>
      </c>
      <c r="H16" s="6" t="s">
        <v>63</v>
      </c>
      <c r="I16" s="9" t="n">
        <v>25</v>
      </c>
      <c r="J16" s="9" t="n">
        <v>1</v>
      </c>
      <c r="K16" s="6" t="s">
        <v>57</v>
      </c>
      <c r="L16" s="9" t="n">
        <v>25</v>
      </c>
      <c r="M16" s="9" t="n">
        <v>1</v>
      </c>
      <c r="N16" s="6" t="s">
        <v>63</v>
      </c>
      <c r="O16" s="9" t="n">
        <v>25</v>
      </c>
      <c r="P16" s="9" t="n">
        <v>1</v>
      </c>
      <c r="Q16" s="8" t="s">
        <v>191</v>
      </c>
      <c r="R16" s="8" t="s">
        <v>222</v>
      </c>
    </row>
    <row r="18" customFormat="false" ht="15" hidden="false" customHeight="false" outlineLevel="0" collapsed="false">
      <c r="A18" s="12" t="s">
        <v>223</v>
      </c>
      <c r="G18" s="13" t="n">
        <f aca="false">COUNTIF(G2:G16,"ADMITIDA")+COUNTIF(G2:G16,"ADMITIDA CON RESERVA")</f>
        <v>13</v>
      </c>
    </row>
    <row r="19" customFormat="false" ht="15" hidden="false" customHeight="false" outlineLevel="0" collapsed="false">
      <c r="A19" s="12" t="s">
        <v>224</v>
      </c>
      <c r="G19" s="13" t="n">
        <f aca="false">COUNTIF(G2:G16,"NO ADMISIBLE")+COUNTIF(G2:G16,"SIN COBERTURA")</f>
        <v>2</v>
      </c>
    </row>
  </sheetData>
  <conditionalFormatting sqref="G2:G16">
    <cfRule type="cellIs" priority="2" operator="equal" aboveAverage="0" equalAverage="0" bottom="0" percent="0" rank="0" text="" dxfId="6">
      <formula>"ADMITIDA"</formula>
    </cfRule>
    <cfRule type="cellIs" priority="3" operator="equal" aboveAverage="0" equalAverage="0" bottom="0" percent="0" rank="0" text="" dxfId="8">
      <formula>"ADMITIDA CON RESERVA"</formula>
    </cfRule>
    <cfRule type="cellIs" priority="4" operator="equal" aboveAverage="0" equalAverage="0" bottom="0" percent="0" rank="0" text="" dxfId="7">
      <formula>"NO ADMISIBLE"</formula>
    </cfRule>
    <cfRule type="cellIs" priority="5" operator="equal" aboveAverage="0" equalAverage="0" bottom="0" percent="0" rank="0" text="" dxfId="7">
      <formula>"SIN COBERTURA"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0"/>
    <col collapsed="false" customWidth="true" hidden="false" outlineLevel="0" max="4" min="4" style="0" width="12"/>
    <col collapsed="false" customWidth="true" hidden="false" outlineLevel="0" max="5" min="5" style="0" width="9"/>
    <col collapsed="false" customWidth="true" hidden="false" outlineLevel="0" max="7" min="6" style="0" width="6"/>
    <col collapsed="false" customWidth="true" hidden="false" outlineLevel="0" max="8" min="8" style="0" width="8"/>
    <col collapsed="false" customWidth="true" hidden="false" outlineLevel="0" max="10" min="9" style="0" width="10"/>
    <col collapsed="false" customWidth="true" hidden="false" outlineLevel="0" max="11" min="11" style="0" width="105"/>
  </cols>
  <sheetData>
    <row r="1" customFormat="false" ht="42" hidden="false" customHeight="true" outlineLevel="0" collapsed="false">
      <c r="A1" s="5" t="s">
        <v>28</v>
      </c>
      <c r="B1" s="5" t="s">
        <v>30</v>
      </c>
      <c r="C1" s="5" t="s">
        <v>225</v>
      </c>
      <c r="D1" s="5" t="s">
        <v>31</v>
      </c>
      <c r="E1" s="5" t="s">
        <v>226</v>
      </c>
      <c r="F1" s="5" t="s">
        <v>38</v>
      </c>
      <c r="G1" s="5" t="s">
        <v>39</v>
      </c>
      <c r="H1" s="5" t="s">
        <v>40</v>
      </c>
      <c r="I1" s="5" t="s">
        <v>41</v>
      </c>
      <c r="J1" s="5" t="s">
        <v>227</v>
      </c>
      <c r="K1" s="5" t="s">
        <v>228</v>
      </c>
    </row>
    <row r="2" customFormat="false" ht="15" hidden="false" customHeight="true" outlineLevel="0" collapsed="false">
      <c r="A2" s="6" t="n">
        <v>7</v>
      </c>
      <c r="B2" s="7" t="s">
        <v>49</v>
      </c>
      <c r="C2" s="6" t="s">
        <v>182</v>
      </c>
      <c r="D2" s="6" t="s">
        <v>50</v>
      </c>
      <c r="E2" s="6" t="s">
        <v>56</v>
      </c>
      <c r="F2" s="9" t="n">
        <v>10</v>
      </c>
      <c r="G2" s="9" t="n">
        <v>7</v>
      </c>
      <c r="H2" s="10" t="n">
        <f aca="false">IF(F2=0,"n/d",G2/F2)</f>
        <v>0.7</v>
      </c>
      <c r="I2" s="6" t="str">
        <f aca="false">IF(OR(F2="",G2=""),"",IF(G2&gt;F2,"IMPOSIBLE",IF(G2=0,"1",IF(G2/F2&lt;=0.2,"P","0"))))</f>
        <v>0</v>
      </c>
      <c r="J2" s="6" t="s">
        <v>229</v>
      </c>
      <c r="K2" s="8" t="s">
        <v>230</v>
      </c>
    </row>
    <row r="3" customFormat="false" ht="15" hidden="false" customHeight="false" outlineLevel="0" collapsed="false">
      <c r="A3" s="6" t="n">
        <v>7</v>
      </c>
      <c r="B3" s="7" t="s">
        <v>49</v>
      </c>
      <c r="C3" s="6" t="s">
        <v>182</v>
      </c>
      <c r="D3" s="6" t="s">
        <v>145</v>
      </c>
      <c r="E3" s="6" t="s">
        <v>56</v>
      </c>
      <c r="F3" s="9" t="n">
        <v>20</v>
      </c>
      <c r="G3" s="9" t="n">
        <v>7</v>
      </c>
      <c r="H3" s="10" t="n">
        <f aca="false">IF(F3=0,"n/d",G3/F3)</f>
        <v>0.35</v>
      </c>
      <c r="I3" s="6" t="str">
        <f aca="false">IF(OR(F3="",G3=""),"",IF(G3&gt;F3,"IMPOSIBLE",IF(G3=0,"1",IF(G3/F3&lt;=0.2,"P","0"))))</f>
        <v>0</v>
      </c>
      <c r="J3" s="6"/>
      <c r="K3" s="8"/>
    </row>
    <row r="4" customFormat="false" ht="15" hidden="false" customHeight="true" outlineLevel="0" collapsed="false">
      <c r="A4" s="6" t="n">
        <v>7</v>
      </c>
      <c r="B4" s="7" t="s">
        <v>49</v>
      </c>
      <c r="C4" s="6" t="s">
        <v>183</v>
      </c>
      <c r="D4" s="6" t="s">
        <v>50</v>
      </c>
      <c r="E4" s="6" t="s">
        <v>57</v>
      </c>
      <c r="F4" s="9" t="n">
        <v>7</v>
      </c>
      <c r="G4" s="9" t="n">
        <v>0</v>
      </c>
      <c r="H4" s="10" t="n">
        <f aca="false">IF(F4=0,"n/d",G4/F4)</f>
        <v>0</v>
      </c>
      <c r="I4" s="6" t="str">
        <f aca="false">IF(OR(F4="",G4=""),"",IF(G4&gt;F4,"IMPOSIBLE",IF(G4=0,"1",IF(G4/F4&lt;=0.2,"P","0"))))</f>
        <v>1</v>
      </c>
      <c r="J4" s="6" t="s">
        <v>229</v>
      </c>
      <c r="K4" s="8" t="s">
        <v>231</v>
      </c>
    </row>
    <row r="5" customFormat="false" ht="15" hidden="false" customHeight="false" outlineLevel="0" collapsed="false">
      <c r="A5" s="6" t="n">
        <v>7</v>
      </c>
      <c r="B5" s="7" t="s">
        <v>49</v>
      </c>
      <c r="C5" s="6" t="s">
        <v>183</v>
      </c>
      <c r="D5" s="6" t="s">
        <v>145</v>
      </c>
      <c r="E5" s="6" t="s">
        <v>57</v>
      </c>
      <c r="F5" s="9" t="n">
        <v>13</v>
      </c>
      <c r="G5" s="9" t="n">
        <v>0</v>
      </c>
      <c r="H5" s="10" t="n">
        <f aca="false">IF(F5=0,"n/d",G5/F5)</f>
        <v>0</v>
      </c>
      <c r="I5" s="6" t="str">
        <f aca="false">IF(OR(F5="",G5=""),"",IF(G5&gt;F5,"IMPOSIBLE",IF(G5=0,"1",IF(G5/F5&lt;=0.2,"P","0"))))</f>
        <v>1</v>
      </c>
      <c r="J5" s="6"/>
      <c r="K5" s="8"/>
    </row>
    <row r="6" customFormat="false" ht="15" hidden="false" customHeight="true" outlineLevel="0" collapsed="false">
      <c r="A6" s="6" t="n">
        <v>7</v>
      </c>
      <c r="B6" s="7" t="s">
        <v>49</v>
      </c>
      <c r="C6" s="6" t="s">
        <v>184</v>
      </c>
      <c r="D6" s="6" t="s">
        <v>50</v>
      </c>
      <c r="E6" s="6" t="s">
        <v>57</v>
      </c>
      <c r="F6" s="9" t="n">
        <v>9</v>
      </c>
      <c r="G6" s="9" t="n">
        <v>0</v>
      </c>
      <c r="H6" s="10" t="n">
        <f aca="false">IF(F6=0,"n/d",G6/F6)</f>
        <v>0</v>
      </c>
      <c r="I6" s="6" t="str">
        <f aca="false">IF(OR(F6="",G6=""),"",IF(G6&gt;F6,"IMPOSIBLE",IF(G6=0,"1",IF(G6/F6&lt;=0.2,"P","0"))))</f>
        <v>1</v>
      </c>
      <c r="J6" s="6" t="s">
        <v>229</v>
      </c>
      <c r="K6" s="8" t="s">
        <v>232</v>
      </c>
    </row>
    <row r="7" customFormat="false" ht="15" hidden="false" customHeight="false" outlineLevel="0" collapsed="false">
      <c r="A7" s="6" t="n">
        <v>7</v>
      </c>
      <c r="B7" s="7" t="s">
        <v>49</v>
      </c>
      <c r="C7" s="6" t="s">
        <v>184</v>
      </c>
      <c r="D7" s="6" t="s">
        <v>145</v>
      </c>
      <c r="E7" s="6" t="s">
        <v>63</v>
      </c>
      <c r="F7" s="9" t="n">
        <v>25</v>
      </c>
      <c r="G7" s="9" t="n">
        <v>1</v>
      </c>
      <c r="H7" s="10" t="n">
        <f aca="false">IF(F7=0,"n/d",G7/F7)</f>
        <v>0.04</v>
      </c>
      <c r="I7" s="6" t="str">
        <f aca="false">IF(OR(F7="",G7=""),"",IF(G7&gt;F7,"IMPOSIBLE",IF(G7=0,"1",IF(G7/F7&lt;=0.2,"P","0"))))</f>
        <v>P</v>
      </c>
      <c r="J7" s="6"/>
      <c r="K7" s="8"/>
    </row>
    <row r="8" customFormat="false" ht="15" hidden="false" customHeight="true" outlineLevel="0" collapsed="false">
      <c r="A8" s="6" t="n">
        <v>15</v>
      </c>
      <c r="B8" s="7" t="s">
        <v>65</v>
      </c>
      <c r="C8" s="6" t="s">
        <v>182</v>
      </c>
      <c r="D8" s="6" t="s">
        <v>50</v>
      </c>
      <c r="E8" s="6" t="s">
        <v>63</v>
      </c>
      <c r="F8" s="9" t="n">
        <v>10</v>
      </c>
      <c r="G8" s="9" t="n">
        <v>2</v>
      </c>
      <c r="H8" s="10" t="n">
        <f aca="false">IF(F8=0,"n/d",G8/F8)</f>
        <v>0.2</v>
      </c>
      <c r="I8" s="6" t="str">
        <f aca="false">IF(OR(F8="",G8=""),"",IF(G8&gt;F8,"IMPOSIBLE",IF(G8=0,"1",IF(G8/F8&lt;=0.2,"P","0"))))</f>
        <v>P</v>
      </c>
      <c r="J8" s="6" t="s">
        <v>229</v>
      </c>
      <c r="K8" s="8" t="s">
        <v>233</v>
      </c>
    </row>
    <row r="9" customFormat="false" ht="15" hidden="false" customHeight="false" outlineLevel="0" collapsed="false">
      <c r="A9" s="6" t="n">
        <v>15</v>
      </c>
      <c r="B9" s="7" t="s">
        <v>65</v>
      </c>
      <c r="C9" s="6" t="s">
        <v>182</v>
      </c>
      <c r="D9" s="6" t="s">
        <v>126</v>
      </c>
      <c r="E9" s="6" t="s">
        <v>56</v>
      </c>
      <c r="F9" s="9" t="n">
        <v>25</v>
      </c>
      <c r="G9" s="9" t="n">
        <v>2</v>
      </c>
      <c r="H9" s="10" t="n">
        <f aca="false">IF(F9=0,"n/d",G9/F9)</f>
        <v>0.08</v>
      </c>
      <c r="I9" s="6" t="str">
        <f aca="false">IF(OR(F9="",G9=""),"",IF(G9&gt;F9,"IMPOSIBLE",IF(G9=0,"1",IF(G9/F9&lt;=0.2,"P","0"))))</f>
        <v>P</v>
      </c>
      <c r="J9" s="6"/>
      <c r="K9" s="8"/>
    </row>
    <row r="10" customFormat="false" ht="15" hidden="false" customHeight="true" outlineLevel="0" collapsed="false">
      <c r="A10" s="6" t="n">
        <v>15</v>
      </c>
      <c r="B10" s="7" t="s">
        <v>65</v>
      </c>
      <c r="C10" s="6" t="s">
        <v>183</v>
      </c>
      <c r="D10" s="6" t="s">
        <v>50</v>
      </c>
      <c r="E10" s="6" t="s">
        <v>57</v>
      </c>
      <c r="F10" s="9" t="n">
        <v>5</v>
      </c>
      <c r="G10" s="9" t="n">
        <v>0</v>
      </c>
      <c r="H10" s="10" t="n">
        <f aca="false">IF(F10=0,"n/d",G10/F10)</f>
        <v>0</v>
      </c>
      <c r="I10" s="6" t="str">
        <f aca="false">IF(OR(F10="",G10=""),"",IF(G10&gt;F10,"IMPOSIBLE",IF(G10=0,"1",IF(G10/F10&lt;=0.2,"P","0"))))</f>
        <v>1</v>
      </c>
      <c r="J10" s="6" t="s">
        <v>229</v>
      </c>
      <c r="K10" s="8" t="s">
        <v>234</v>
      </c>
    </row>
    <row r="11" customFormat="false" ht="15" hidden="false" customHeight="false" outlineLevel="0" collapsed="false">
      <c r="A11" s="6" t="n">
        <v>15</v>
      </c>
      <c r="B11" s="7" t="s">
        <v>65</v>
      </c>
      <c r="C11" s="6" t="s">
        <v>183</v>
      </c>
      <c r="D11" s="6" t="s">
        <v>126</v>
      </c>
      <c r="E11" s="6" t="s">
        <v>57</v>
      </c>
      <c r="F11" s="9" t="n">
        <v>25</v>
      </c>
      <c r="G11" s="9" t="n">
        <v>0</v>
      </c>
      <c r="H11" s="10" t="n">
        <f aca="false">IF(F11=0,"n/d",G11/F11)</f>
        <v>0</v>
      </c>
      <c r="I11" s="6" t="str">
        <f aca="false">IF(OR(F11="",G11=""),"",IF(G11&gt;F11,"IMPOSIBLE",IF(G11=0,"1",IF(G11/F11&lt;=0.2,"P","0"))))</f>
        <v>1</v>
      </c>
      <c r="J11" s="6"/>
      <c r="K11" s="8"/>
    </row>
    <row r="12" customFormat="false" ht="15" hidden="false" customHeight="true" outlineLevel="0" collapsed="false">
      <c r="A12" s="6" t="n">
        <v>15</v>
      </c>
      <c r="B12" s="7" t="s">
        <v>65</v>
      </c>
      <c r="C12" s="6" t="s">
        <v>184</v>
      </c>
      <c r="D12" s="6" t="s">
        <v>50</v>
      </c>
      <c r="E12" s="6" t="s">
        <v>63</v>
      </c>
      <c r="F12" s="9" t="n">
        <v>10</v>
      </c>
      <c r="G12" s="9" t="n">
        <v>2</v>
      </c>
      <c r="H12" s="10" t="n">
        <f aca="false">IF(F12=0,"n/d",G12/F12)</f>
        <v>0.2</v>
      </c>
      <c r="I12" s="6" t="str">
        <f aca="false">IF(OR(F12="",G12=""),"",IF(G12&gt;F12,"IMPOSIBLE",IF(G12=0,"1",IF(G12/F12&lt;=0.2,"P","0"))))</f>
        <v>P</v>
      </c>
      <c r="J12" s="6" t="s">
        <v>229</v>
      </c>
      <c r="K12" s="8" t="s">
        <v>235</v>
      </c>
    </row>
    <row r="13" customFormat="false" ht="15" hidden="false" customHeight="false" outlineLevel="0" collapsed="false">
      <c r="A13" s="6" t="n">
        <v>15</v>
      </c>
      <c r="B13" s="7" t="s">
        <v>65</v>
      </c>
      <c r="C13" s="6" t="s">
        <v>184</v>
      </c>
      <c r="D13" s="6" t="s">
        <v>126</v>
      </c>
      <c r="E13" s="6" t="s">
        <v>56</v>
      </c>
      <c r="F13" s="9" t="n">
        <v>25</v>
      </c>
      <c r="G13" s="9" t="n">
        <v>6</v>
      </c>
      <c r="H13" s="10" t="n">
        <f aca="false">IF(F13=0,"n/d",G13/F13)</f>
        <v>0.24</v>
      </c>
      <c r="I13" s="6" t="str">
        <f aca="false">IF(OR(F13="",G13=""),"",IF(G13&gt;F13,"IMPOSIBLE",IF(G13=0,"1",IF(G13/F13&lt;=0.2,"P","0"))))</f>
        <v>0</v>
      </c>
      <c r="J13" s="6"/>
      <c r="K13" s="8"/>
    </row>
    <row r="14" customFormat="false" ht="15" hidden="false" customHeight="true" outlineLevel="0" collapsed="false">
      <c r="A14" s="6" t="n">
        <v>22</v>
      </c>
      <c r="B14" s="7" t="s">
        <v>69</v>
      </c>
      <c r="C14" s="6" t="s">
        <v>182</v>
      </c>
      <c r="D14" s="6" t="s">
        <v>50</v>
      </c>
      <c r="E14" s="6" t="s">
        <v>63</v>
      </c>
      <c r="F14" s="9" t="n">
        <v>11</v>
      </c>
      <c r="G14" s="9" t="n">
        <v>1</v>
      </c>
      <c r="H14" s="10" t="n">
        <f aca="false">IF(F14=0,"n/d",G14/F14)</f>
        <v>0.0909090909090909</v>
      </c>
      <c r="I14" s="6" t="str">
        <f aca="false">IF(OR(F14="",G14=""),"",IF(G14&gt;F14,"IMPOSIBLE",IF(G14=0,"1",IF(G14/F14&lt;=0.2,"P","0"))))</f>
        <v>P</v>
      </c>
      <c r="J14" s="6" t="s">
        <v>229</v>
      </c>
      <c r="K14" s="8" t="s">
        <v>236</v>
      </c>
    </row>
    <row r="15" customFormat="false" ht="15" hidden="false" customHeight="false" outlineLevel="0" collapsed="false">
      <c r="A15" s="6" t="n">
        <v>22</v>
      </c>
      <c r="B15" s="7" t="s">
        <v>69</v>
      </c>
      <c r="C15" s="6" t="s">
        <v>182</v>
      </c>
      <c r="D15" s="6" t="s">
        <v>126</v>
      </c>
      <c r="E15" s="6" t="s">
        <v>56</v>
      </c>
      <c r="F15" s="9" t="n">
        <v>25</v>
      </c>
      <c r="G15" s="9" t="n">
        <v>9</v>
      </c>
      <c r="H15" s="10" t="n">
        <f aca="false">IF(F15=0,"n/d",G15/F15)</f>
        <v>0.36</v>
      </c>
      <c r="I15" s="6" t="str">
        <f aca="false">IF(OR(F15="",G15=""),"",IF(G15&gt;F15,"IMPOSIBLE",IF(G15=0,"1",IF(G15/F15&lt;=0.2,"P","0"))))</f>
        <v>0</v>
      </c>
      <c r="J15" s="6"/>
      <c r="K15" s="8"/>
    </row>
    <row r="16" customFormat="false" ht="15" hidden="false" customHeight="true" outlineLevel="0" collapsed="false">
      <c r="A16" s="6" t="n">
        <v>22</v>
      </c>
      <c r="B16" s="7" t="s">
        <v>69</v>
      </c>
      <c r="C16" s="6" t="s">
        <v>183</v>
      </c>
      <c r="D16" s="6" t="s">
        <v>50</v>
      </c>
      <c r="E16" s="6" t="s">
        <v>56</v>
      </c>
      <c r="F16" s="9" t="n">
        <v>3</v>
      </c>
      <c r="G16" s="9" t="n">
        <v>1</v>
      </c>
      <c r="H16" s="10" t="n">
        <f aca="false">IF(F16=0,"n/d",G16/F16)</f>
        <v>0.333333333333333</v>
      </c>
      <c r="I16" s="6" t="str">
        <f aca="false">IF(OR(F16="",G16=""),"",IF(G16&gt;F16,"IMPOSIBLE",IF(G16=0,"1",IF(G16/F16&lt;=0.2,"P","0"))))</f>
        <v>0</v>
      </c>
      <c r="J16" s="6" t="s">
        <v>229</v>
      </c>
      <c r="K16" s="8" t="s">
        <v>237</v>
      </c>
    </row>
    <row r="17" customFormat="false" ht="15" hidden="false" customHeight="false" outlineLevel="0" collapsed="false">
      <c r="A17" s="6" t="n">
        <v>22</v>
      </c>
      <c r="B17" s="7" t="s">
        <v>69</v>
      </c>
      <c r="C17" s="6" t="s">
        <v>183</v>
      </c>
      <c r="D17" s="6" t="s">
        <v>126</v>
      </c>
      <c r="E17" s="6" t="s">
        <v>63</v>
      </c>
      <c r="F17" s="9" t="n">
        <v>25</v>
      </c>
      <c r="G17" s="9" t="n">
        <v>18</v>
      </c>
      <c r="H17" s="10" t="n">
        <f aca="false">IF(F17=0,"n/d",G17/F17)</f>
        <v>0.72</v>
      </c>
      <c r="I17" s="6" t="str">
        <f aca="false">IF(OR(F17="",G17=""),"",IF(G17&gt;F17,"IMPOSIBLE",IF(G17=0,"1",IF(G17/F17&lt;=0.2,"P","0"))))</f>
        <v>0</v>
      </c>
      <c r="J17" s="6"/>
      <c r="K17" s="8"/>
    </row>
    <row r="18" customFormat="false" ht="15" hidden="false" customHeight="true" outlineLevel="0" collapsed="false">
      <c r="A18" s="6" t="n">
        <v>22</v>
      </c>
      <c r="B18" s="7" t="s">
        <v>69</v>
      </c>
      <c r="C18" s="6" t="s">
        <v>184</v>
      </c>
      <c r="D18" s="6" t="s">
        <v>50</v>
      </c>
      <c r="E18" s="6" t="s">
        <v>56</v>
      </c>
      <c r="F18" s="9" t="n">
        <v>11</v>
      </c>
      <c r="G18" s="9" t="n">
        <v>3</v>
      </c>
      <c r="H18" s="10" t="n">
        <f aca="false">IF(F18=0,"n/d",G18/F18)</f>
        <v>0.272727272727273</v>
      </c>
      <c r="I18" s="6" t="str">
        <f aca="false">IF(OR(F18="",G18=""),"",IF(G18&gt;F18,"IMPOSIBLE",IF(G18=0,"1",IF(G18/F18&lt;=0.2,"P","0"))))</f>
        <v>0</v>
      </c>
      <c r="J18" s="6" t="s">
        <v>229</v>
      </c>
      <c r="K18" s="8" t="s">
        <v>238</v>
      </c>
    </row>
    <row r="19" customFormat="false" ht="15" hidden="false" customHeight="false" outlineLevel="0" collapsed="false">
      <c r="A19" s="6" t="n">
        <v>22</v>
      </c>
      <c r="B19" s="7" t="s">
        <v>69</v>
      </c>
      <c r="C19" s="6" t="s">
        <v>184</v>
      </c>
      <c r="D19" s="6" t="s">
        <v>126</v>
      </c>
      <c r="E19" s="6" t="s">
        <v>56</v>
      </c>
      <c r="F19" s="9" t="n">
        <v>25</v>
      </c>
      <c r="G19" s="9" t="n">
        <v>6</v>
      </c>
      <c r="H19" s="10" t="n">
        <f aca="false">IF(F19=0,"n/d",G19/F19)</f>
        <v>0.24</v>
      </c>
      <c r="I19" s="6" t="str">
        <f aca="false">IF(OR(F19="",G19=""),"",IF(G19&gt;F19,"IMPOSIBLE",IF(G19=0,"1",IF(G19/F19&lt;=0.2,"P","0"))))</f>
        <v>0</v>
      </c>
      <c r="J19" s="6"/>
      <c r="K19" s="8"/>
    </row>
    <row r="20" customFormat="false" ht="15" hidden="false" customHeight="true" outlineLevel="0" collapsed="false">
      <c r="A20" s="6" t="n">
        <v>29</v>
      </c>
      <c r="B20" s="7" t="s">
        <v>73</v>
      </c>
      <c r="C20" s="6" t="s">
        <v>182</v>
      </c>
      <c r="D20" s="6" t="s">
        <v>77</v>
      </c>
      <c r="E20" s="6" t="s">
        <v>56</v>
      </c>
      <c r="F20" s="9" t="n">
        <v>25</v>
      </c>
      <c r="G20" s="9" t="n">
        <v>18</v>
      </c>
      <c r="H20" s="10" t="n">
        <f aca="false">IF(F20=0,"n/d",G20/F20)</f>
        <v>0.72</v>
      </c>
      <c r="I20" s="6" t="str">
        <f aca="false">IF(OR(F20="",G20=""),"",IF(G20&gt;F20,"IMPOSIBLE",IF(G20=0,"1",IF(G20/F20&lt;=0.2,"P","0"))))</f>
        <v>0</v>
      </c>
      <c r="J20" s="6"/>
      <c r="K20" s="8" t="s">
        <v>239</v>
      </c>
    </row>
    <row r="21" customFormat="false" ht="15" hidden="false" customHeight="false" outlineLevel="0" collapsed="false">
      <c r="A21" s="6" t="n">
        <v>29</v>
      </c>
      <c r="B21" s="7" t="s">
        <v>73</v>
      </c>
      <c r="C21" s="6" t="s">
        <v>182</v>
      </c>
      <c r="D21" s="6" t="s">
        <v>50</v>
      </c>
      <c r="E21" s="6" t="s">
        <v>57</v>
      </c>
      <c r="F21" s="9" t="n">
        <v>11</v>
      </c>
      <c r="G21" s="9" t="n">
        <v>0</v>
      </c>
      <c r="H21" s="10" t="n">
        <f aca="false">IF(F21=0,"n/d",G21/F21)</f>
        <v>0</v>
      </c>
      <c r="I21" s="6" t="str">
        <f aca="false">IF(OR(F21="",G21=""),"",IF(G21&gt;F21,"IMPOSIBLE",IF(G21=0,"1",IF(G21/F21&lt;=0.2,"P","0"))))</f>
        <v>1</v>
      </c>
      <c r="J21" s="6" t="s">
        <v>229</v>
      </c>
      <c r="K21" s="8"/>
    </row>
    <row r="22" customFormat="false" ht="15" hidden="false" customHeight="false" outlineLevel="0" collapsed="false">
      <c r="A22" s="6" t="n">
        <v>29</v>
      </c>
      <c r="B22" s="7" t="s">
        <v>73</v>
      </c>
      <c r="C22" s="6" t="s">
        <v>182</v>
      </c>
      <c r="D22" s="6" t="s">
        <v>93</v>
      </c>
      <c r="E22" s="6" t="s">
        <v>56</v>
      </c>
      <c r="F22" s="9" t="n">
        <v>16</v>
      </c>
      <c r="G22" s="9" t="n">
        <v>9</v>
      </c>
      <c r="H22" s="10" t="n">
        <f aca="false">IF(F22=0,"n/d",G22/F22)</f>
        <v>0.5625</v>
      </c>
      <c r="I22" s="6" t="str">
        <f aca="false">IF(OR(F22="",G22=""),"",IF(G22&gt;F22,"IMPOSIBLE",IF(G22=0,"1",IF(G22/F22&lt;=0.2,"P","0"))))</f>
        <v>0</v>
      </c>
      <c r="J22" s="6"/>
      <c r="K22" s="8"/>
    </row>
    <row r="23" customFormat="false" ht="15" hidden="false" customHeight="true" outlineLevel="0" collapsed="false">
      <c r="A23" s="6" t="n">
        <v>29</v>
      </c>
      <c r="B23" s="7" t="s">
        <v>73</v>
      </c>
      <c r="C23" s="6" t="s">
        <v>183</v>
      </c>
      <c r="D23" s="6" t="s">
        <v>77</v>
      </c>
      <c r="E23" s="6" t="s">
        <v>63</v>
      </c>
      <c r="F23" s="9" t="n">
        <v>25</v>
      </c>
      <c r="G23" s="9" t="n">
        <v>2</v>
      </c>
      <c r="H23" s="10" t="n">
        <f aca="false">IF(F23=0,"n/d",G23/F23)</f>
        <v>0.08</v>
      </c>
      <c r="I23" s="6" t="str">
        <f aca="false">IF(OR(F23="",G23=""),"",IF(G23&gt;F23,"IMPOSIBLE",IF(G23=0,"1",IF(G23/F23&lt;=0.2,"P","0"))))</f>
        <v>P</v>
      </c>
      <c r="J23" s="6"/>
      <c r="K23" s="8" t="s">
        <v>240</v>
      </c>
    </row>
    <row r="24" customFormat="false" ht="15" hidden="false" customHeight="false" outlineLevel="0" collapsed="false">
      <c r="A24" s="6" t="n">
        <v>29</v>
      </c>
      <c r="B24" s="7" t="s">
        <v>73</v>
      </c>
      <c r="C24" s="6" t="s">
        <v>183</v>
      </c>
      <c r="D24" s="6" t="s">
        <v>50</v>
      </c>
      <c r="E24" s="6" t="s">
        <v>57</v>
      </c>
      <c r="F24" s="9" t="n">
        <v>5</v>
      </c>
      <c r="G24" s="9" t="n">
        <v>0</v>
      </c>
      <c r="H24" s="10" t="n">
        <f aca="false">IF(F24=0,"n/d",G24/F24)</f>
        <v>0</v>
      </c>
      <c r="I24" s="6" t="str">
        <f aca="false">IF(OR(F24="",G24=""),"",IF(G24&gt;F24,"IMPOSIBLE",IF(G24=0,"1",IF(G24/F24&lt;=0.2,"P","0"))))</f>
        <v>1</v>
      </c>
      <c r="J24" s="6" t="s">
        <v>229</v>
      </c>
      <c r="K24" s="8"/>
    </row>
    <row r="25" customFormat="false" ht="15" hidden="false" customHeight="false" outlineLevel="0" collapsed="false">
      <c r="A25" s="6" t="n">
        <v>29</v>
      </c>
      <c r="B25" s="7" t="s">
        <v>73</v>
      </c>
      <c r="C25" s="6" t="s">
        <v>183</v>
      </c>
      <c r="D25" s="6" t="s">
        <v>93</v>
      </c>
      <c r="E25" s="6" t="s">
        <v>57</v>
      </c>
      <c r="F25" s="9" t="n">
        <v>23</v>
      </c>
      <c r="G25" s="9" t="n">
        <v>0</v>
      </c>
      <c r="H25" s="10" t="n">
        <f aca="false">IF(F25=0,"n/d",G25/F25)</f>
        <v>0</v>
      </c>
      <c r="I25" s="6" t="str">
        <f aca="false">IF(OR(F25="",G25=""),"",IF(G25&gt;F25,"IMPOSIBLE",IF(G25=0,"1",IF(G25/F25&lt;=0.2,"P","0"))))</f>
        <v>1</v>
      </c>
      <c r="J25" s="6"/>
      <c r="K25" s="8"/>
    </row>
    <row r="26" customFormat="false" ht="15" hidden="false" customHeight="true" outlineLevel="0" collapsed="false">
      <c r="A26" s="6" t="n">
        <v>29</v>
      </c>
      <c r="B26" s="7" t="s">
        <v>73</v>
      </c>
      <c r="C26" s="6" t="s">
        <v>184</v>
      </c>
      <c r="D26" s="6" t="s">
        <v>77</v>
      </c>
      <c r="E26" s="6" t="s">
        <v>57</v>
      </c>
      <c r="F26" s="9" t="n">
        <v>25</v>
      </c>
      <c r="G26" s="9" t="n">
        <v>0</v>
      </c>
      <c r="H26" s="10" t="n">
        <f aca="false">IF(F26=0,"n/d",G26/F26)</f>
        <v>0</v>
      </c>
      <c r="I26" s="6" t="str">
        <f aca="false">IF(OR(F26="",G26=""),"",IF(G26&gt;F26,"IMPOSIBLE",IF(G26=0,"1",IF(G26/F26&lt;=0.2,"P","0"))))</f>
        <v>1</v>
      </c>
      <c r="J26" s="6"/>
      <c r="K26" s="8" t="s">
        <v>241</v>
      </c>
    </row>
    <row r="27" customFormat="false" ht="15" hidden="false" customHeight="false" outlineLevel="0" collapsed="false">
      <c r="A27" s="6" t="n">
        <v>29</v>
      </c>
      <c r="B27" s="7" t="s">
        <v>73</v>
      </c>
      <c r="C27" s="6" t="s">
        <v>184</v>
      </c>
      <c r="D27" s="6" t="s">
        <v>50</v>
      </c>
      <c r="E27" s="6" t="s">
        <v>57</v>
      </c>
      <c r="F27" s="9" t="n">
        <v>9</v>
      </c>
      <c r="G27" s="9" t="n">
        <v>0</v>
      </c>
      <c r="H27" s="10" t="n">
        <f aca="false">IF(F27=0,"n/d",G27/F27)</f>
        <v>0</v>
      </c>
      <c r="I27" s="6" t="str">
        <f aca="false">IF(OR(F27="",G27=""),"",IF(G27&gt;F27,"IMPOSIBLE",IF(G27=0,"1",IF(G27/F27&lt;=0.2,"P","0"))))</f>
        <v>1</v>
      </c>
      <c r="J27" s="6" t="s">
        <v>229</v>
      </c>
      <c r="K27" s="8"/>
    </row>
    <row r="28" customFormat="false" ht="15" hidden="false" customHeight="false" outlineLevel="0" collapsed="false">
      <c r="A28" s="6" t="n">
        <v>29</v>
      </c>
      <c r="B28" s="7" t="s">
        <v>73</v>
      </c>
      <c r="C28" s="6" t="s">
        <v>184</v>
      </c>
      <c r="D28" s="6" t="s">
        <v>93</v>
      </c>
      <c r="E28" s="6" t="s">
        <v>63</v>
      </c>
      <c r="F28" s="9" t="n">
        <v>25</v>
      </c>
      <c r="G28" s="9" t="n">
        <v>3</v>
      </c>
      <c r="H28" s="10" t="n">
        <f aca="false">IF(F28=0,"n/d",G28/F28)</f>
        <v>0.12</v>
      </c>
      <c r="I28" s="6" t="str">
        <f aca="false">IF(OR(F28="",G28=""),"",IF(G28&gt;F28,"IMPOSIBLE",IF(G28=0,"1",IF(G28/F28&lt;=0.2,"P","0"))))</f>
        <v>P</v>
      </c>
      <c r="J28" s="6"/>
      <c r="K28" s="8"/>
    </row>
    <row r="29" customFormat="false" ht="15" hidden="false" customHeight="true" outlineLevel="0" collapsed="false">
      <c r="A29" s="6" t="n">
        <v>95</v>
      </c>
      <c r="B29" s="7" t="s">
        <v>89</v>
      </c>
      <c r="C29" s="6" t="s">
        <v>182</v>
      </c>
      <c r="D29" s="6" t="s">
        <v>77</v>
      </c>
      <c r="E29" s="6" t="s">
        <v>56</v>
      </c>
      <c r="F29" s="9" t="n">
        <v>17</v>
      </c>
      <c r="G29" s="9" t="n">
        <v>7</v>
      </c>
      <c r="H29" s="10" t="n">
        <f aca="false">IF(F29=0,"n/d",G29/F29)</f>
        <v>0.411764705882353</v>
      </c>
      <c r="I29" s="6" t="str">
        <f aca="false">IF(OR(F29="",G29=""),"",IF(G29&gt;F29,"IMPOSIBLE",IF(G29=0,"1",IF(G29/F29&lt;=0.2,"P","0"))))</f>
        <v>0</v>
      </c>
      <c r="J29" s="6" t="s">
        <v>229</v>
      </c>
      <c r="K29" s="8" t="s">
        <v>242</v>
      </c>
    </row>
    <row r="30" customFormat="false" ht="15" hidden="false" customHeight="false" outlineLevel="0" collapsed="false">
      <c r="A30" s="6" t="n">
        <v>95</v>
      </c>
      <c r="B30" s="7" t="s">
        <v>89</v>
      </c>
      <c r="C30" s="6" t="s">
        <v>182</v>
      </c>
      <c r="D30" s="6" t="s">
        <v>136</v>
      </c>
      <c r="E30" s="6" t="s">
        <v>56</v>
      </c>
      <c r="F30" s="9" t="n">
        <v>4</v>
      </c>
      <c r="G30" s="9" t="n">
        <v>7</v>
      </c>
      <c r="H30" s="10" t="n">
        <f aca="false">IF(F30=0,"n/d",G30/F30)</f>
        <v>1.75</v>
      </c>
      <c r="I30" s="6" t="str">
        <f aca="false">IF(OR(F30="",G30=""),"",IF(G30&gt;F30,"IMPOSIBLE",IF(G30=0,"1",IF(G30/F30&lt;=0.2,"P","0"))))</f>
        <v>IMPOSIBLE</v>
      </c>
      <c r="J30" s="6"/>
      <c r="K30" s="8"/>
    </row>
    <row r="31" customFormat="false" ht="15" hidden="false" customHeight="true" outlineLevel="0" collapsed="false">
      <c r="A31" s="6" t="n">
        <v>95</v>
      </c>
      <c r="B31" s="7" t="s">
        <v>89</v>
      </c>
      <c r="C31" s="6" t="s">
        <v>183</v>
      </c>
      <c r="D31" s="6" t="s">
        <v>77</v>
      </c>
      <c r="E31" s="6" t="s">
        <v>57</v>
      </c>
      <c r="F31" s="9" t="n">
        <v>25</v>
      </c>
      <c r="G31" s="9" t="n">
        <v>0</v>
      </c>
      <c r="H31" s="10" t="n">
        <f aca="false">IF(F31=0,"n/d",G31/F31)</f>
        <v>0</v>
      </c>
      <c r="I31" s="6" t="str">
        <f aca="false">IF(OR(F31="",G31=""),"",IF(G31&gt;F31,"IMPOSIBLE",IF(G31=0,"1",IF(G31/F31&lt;=0.2,"P","0"))))</f>
        <v>1</v>
      </c>
      <c r="J31" s="6" t="s">
        <v>229</v>
      </c>
      <c r="K31" s="8" t="s">
        <v>243</v>
      </c>
    </row>
    <row r="32" customFormat="false" ht="15" hidden="false" customHeight="false" outlineLevel="0" collapsed="false">
      <c r="A32" s="6" t="n">
        <v>95</v>
      </c>
      <c r="B32" s="7" t="s">
        <v>89</v>
      </c>
      <c r="C32" s="6" t="s">
        <v>183</v>
      </c>
      <c r="D32" s="6" t="s">
        <v>136</v>
      </c>
      <c r="E32" s="6" t="s">
        <v>57</v>
      </c>
      <c r="F32" s="9" t="n">
        <v>8</v>
      </c>
      <c r="G32" s="9" t="n">
        <v>0</v>
      </c>
      <c r="H32" s="10" t="n">
        <f aca="false">IF(F32=0,"n/d",G32/F32)</f>
        <v>0</v>
      </c>
      <c r="I32" s="6" t="str">
        <f aca="false">IF(OR(F32="",G32=""),"",IF(G32&gt;F32,"IMPOSIBLE",IF(G32=0,"1",IF(G32/F32&lt;=0.2,"P","0"))))</f>
        <v>1</v>
      </c>
      <c r="J32" s="6"/>
      <c r="K32" s="8"/>
    </row>
    <row r="33" customFormat="false" ht="15" hidden="false" customHeight="true" outlineLevel="0" collapsed="false">
      <c r="A33" s="6" t="n">
        <v>95</v>
      </c>
      <c r="B33" s="7" t="s">
        <v>89</v>
      </c>
      <c r="C33" s="6" t="s">
        <v>184</v>
      </c>
      <c r="D33" s="6" t="s">
        <v>77</v>
      </c>
      <c r="E33" s="6" t="s">
        <v>57</v>
      </c>
      <c r="F33" s="9" t="n">
        <v>25</v>
      </c>
      <c r="G33" s="9" t="n">
        <v>0</v>
      </c>
      <c r="H33" s="10" t="n">
        <f aca="false">IF(F33=0,"n/d",G33/F33)</f>
        <v>0</v>
      </c>
      <c r="I33" s="6" t="str">
        <f aca="false">IF(OR(F33="",G33=""),"",IF(G33&gt;F33,"IMPOSIBLE",IF(G33=0,"1",IF(G33/F33&lt;=0.2,"P","0"))))</f>
        <v>1</v>
      </c>
      <c r="J33" s="6" t="s">
        <v>229</v>
      </c>
      <c r="K33" s="8" t="s">
        <v>244</v>
      </c>
    </row>
    <row r="34" customFormat="false" ht="15" hidden="false" customHeight="false" outlineLevel="0" collapsed="false">
      <c r="A34" s="6" t="n">
        <v>95</v>
      </c>
      <c r="B34" s="7" t="s">
        <v>89</v>
      </c>
      <c r="C34" s="6" t="s">
        <v>184</v>
      </c>
      <c r="D34" s="6" t="s">
        <v>136</v>
      </c>
      <c r="E34" s="6" t="s">
        <v>56</v>
      </c>
      <c r="F34" s="9" t="n">
        <v>33</v>
      </c>
      <c r="G34" s="9" t="n">
        <v>22</v>
      </c>
      <c r="H34" s="10" t="n">
        <f aca="false">IF(F34=0,"n/d",G34/F34)</f>
        <v>0.666666666666667</v>
      </c>
      <c r="I34" s="6" t="str">
        <f aca="false">IF(OR(F34="",G34=""),"",IF(G34&gt;F34,"IMPOSIBLE",IF(G34=0,"1",IF(G34/F34&lt;=0.2,"P","0"))))</f>
        <v>0</v>
      </c>
      <c r="J34" s="6"/>
      <c r="K34" s="8"/>
    </row>
    <row r="35" customFormat="false" ht="15" hidden="false" customHeight="true" outlineLevel="0" collapsed="false">
      <c r="A35" s="6" t="n">
        <v>96</v>
      </c>
      <c r="B35" s="7" t="s">
        <v>99</v>
      </c>
      <c r="C35" s="6" t="s">
        <v>182</v>
      </c>
      <c r="D35" s="6" t="s">
        <v>136</v>
      </c>
      <c r="E35" s="6" t="s">
        <v>56</v>
      </c>
      <c r="F35" s="9" t="n">
        <v>0</v>
      </c>
      <c r="G35" s="9" t="n">
        <v>7</v>
      </c>
      <c r="H35" s="10" t="str">
        <f aca="false">IF(F35=0,"n/d",G35/F35)</f>
        <v>n/d</v>
      </c>
      <c r="I35" s="6" t="str">
        <f aca="false">IF(OR(F35="",G35=""),"",IF(G35&gt;F35,"IMPOSIBLE",IF(G35=0,"1",IF(G35/F35&lt;=0.2,"P","0"))))</f>
        <v>IMPOSIBLE</v>
      </c>
      <c r="J35" s="6"/>
      <c r="K35" s="8" t="s">
        <v>245</v>
      </c>
    </row>
    <row r="36" customFormat="false" ht="15" hidden="false" customHeight="false" outlineLevel="0" collapsed="false">
      <c r="A36" s="6" t="n">
        <v>96</v>
      </c>
      <c r="B36" s="7" t="s">
        <v>99</v>
      </c>
      <c r="C36" s="6" t="s">
        <v>182</v>
      </c>
      <c r="D36" s="6" t="s">
        <v>93</v>
      </c>
      <c r="E36" s="6" t="s">
        <v>56</v>
      </c>
      <c r="F36" s="9" t="n">
        <v>7</v>
      </c>
      <c r="G36" s="9" t="n">
        <v>2</v>
      </c>
      <c r="H36" s="10" t="n">
        <f aca="false">IF(F36=0,"n/d",G36/F36)</f>
        <v>0.285714285714286</v>
      </c>
      <c r="I36" s="6" t="str">
        <f aca="false">IF(OR(F36="",G36=""),"",IF(G36&gt;F36,"IMPOSIBLE",IF(G36=0,"1",IF(G36/F36&lt;=0.2,"P","0"))))</f>
        <v>0</v>
      </c>
      <c r="J36" s="6" t="s">
        <v>229</v>
      </c>
      <c r="K36" s="8"/>
    </row>
    <row r="37" customFormat="false" ht="15" hidden="false" customHeight="false" outlineLevel="0" collapsed="false">
      <c r="A37" s="6" t="n">
        <v>96</v>
      </c>
      <c r="B37" s="7" t="s">
        <v>99</v>
      </c>
      <c r="C37" s="6" t="s">
        <v>182</v>
      </c>
      <c r="D37" s="6" t="s">
        <v>105</v>
      </c>
      <c r="E37" s="6" t="s">
        <v>56</v>
      </c>
      <c r="F37" s="9" t="n">
        <v>22</v>
      </c>
      <c r="G37" s="9" t="n">
        <v>7</v>
      </c>
      <c r="H37" s="10" t="n">
        <f aca="false">IF(F37=0,"n/d",G37/F37)</f>
        <v>0.318181818181818</v>
      </c>
      <c r="I37" s="6" t="str">
        <f aca="false">IF(OR(F37="",G37=""),"",IF(G37&gt;F37,"IMPOSIBLE",IF(G37=0,"1",IF(G37/F37&lt;=0.2,"P","0"))))</f>
        <v>0</v>
      </c>
      <c r="J37" s="6"/>
      <c r="K37" s="8"/>
    </row>
    <row r="38" customFormat="false" ht="15" hidden="false" customHeight="true" outlineLevel="0" collapsed="false">
      <c r="A38" s="6" t="n">
        <v>96</v>
      </c>
      <c r="B38" s="7" t="s">
        <v>99</v>
      </c>
      <c r="C38" s="6" t="s">
        <v>183</v>
      </c>
      <c r="D38" s="6" t="s">
        <v>136</v>
      </c>
      <c r="E38" s="6" t="s">
        <v>56</v>
      </c>
      <c r="F38" s="9" t="n">
        <v>12</v>
      </c>
      <c r="G38" s="9" t="n">
        <v>11</v>
      </c>
      <c r="H38" s="10" t="n">
        <f aca="false">IF(F38=0,"n/d",G38/F38)</f>
        <v>0.916666666666667</v>
      </c>
      <c r="I38" s="6" t="str">
        <f aca="false">IF(OR(F38="",G38=""),"",IF(G38&gt;F38,"IMPOSIBLE",IF(G38=0,"1",IF(G38/F38&lt;=0.2,"P","0"))))</f>
        <v>0</v>
      </c>
      <c r="J38" s="6"/>
      <c r="K38" s="8" t="s">
        <v>246</v>
      </c>
    </row>
    <row r="39" customFormat="false" ht="15" hidden="false" customHeight="false" outlineLevel="0" collapsed="false">
      <c r="A39" s="6" t="n">
        <v>96</v>
      </c>
      <c r="B39" s="7" t="s">
        <v>99</v>
      </c>
      <c r="C39" s="6" t="s">
        <v>183</v>
      </c>
      <c r="D39" s="6" t="s">
        <v>93</v>
      </c>
      <c r="E39" s="6" t="s">
        <v>56</v>
      </c>
      <c r="F39" s="9" t="n">
        <v>16</v>
      </c>
      <c r="G39" s="9" t="n">
        <v>4</v>
      </c>
      <c r="H39" s="10" t="n">
        <f aca="false">IF(F39=0,"n/d",G39/F39)</f>
        <v>0.25</v>
      </c>
      <c r="I39" s="6" t="str">
        <f aca="false">IF(OR(F39="",G39=""),"",IF(G39&gt;F39,"IMPOSIBLE",IF(G39=0,"1",IF(G39/F39&lt;=0.2,"P","0"))))</f>
        <v>0</v>
      </c>
      <c r="J39" s="6" t="s">
        <v>229</v>
      </c>
      <c r="K39" s="8"/>
    </row>
    <row r="40" customFormat="false" ht="15" hidden="false" customHeight="false" outlineLevel="0" collapsed="false">
      <c r="A40" s="6" t="n">
        <v>96</v>
      </c>
      <c r="B40" s="7" t="s">
        <v>99</v>
      </c>
      <c r="C40" s="6" t="s">
        <v>183</v>
      </c>
      <c r="D40" s="6" t="s">
        <v>105</v>
      </c>
      <c r="E40" s="6" t="s">
        <v>63</v>
      </c>
      <c r="F40" s="9" t="n">
        <v>25</v>
      </c>
      <c r="G40" s="9" t="n">
        <v>5</v>
      </c>
      <c r="H40" s="10" t="n">
        <f aca="false">IF(F40=0,"n/d",G40/F40)</f>
        <v>0.2</v>
      </c>
      <c r="I40" s="6" t="str">
        <f aca="false">IF(OR(F40="",G40=""),"",IF(G40&gt;F40,"IMPOSIBLE",IF(G40=0,"1",IF(G40/F40&lt;=0.2,"P","0"))))</f>
        <v>P</v>
      </c>
      <c r="J40" s="6"/>
      <c r="K40" s="8"/>
    </row>
    <row r="41" customFormat="false" ht="15" hidden="false" customHeight="true" outlineLevel="0" collapsed="false">
      <c r="A41" s="6" t="n">
        <v>96</v>
      </c>
      <c r="B41" s="7" t="s">
        <v>99</v>
      </c>
      <c r="C41" s="6" t="s">
        <v>184</v>
      </c>
      <c r="D41" s="6" t="s">
        <v>136</v>
      </c>
      <c r="E41" s="6" t="s">
        <v>56</v>
      </c>
      <c r="F41" s="9" t="n">
        <v>74</v>
      </c>
      <c r="G41" s="9" t="n">
        <v>26</v>
      </c>
      <c r="H41" s="10" t="n">
        <f aca="false">IF(F41=0,"n/d",G41/F41)</f>
        <v>0.351351351351351</v>
      </c>
      <c r="I41" s="6" t="str">
        <f aca="false">IF(OR(F41="",G41=""),"",IF(G41&gt;F41,"IMPOSIBLE",IF(G41=0,"1",IF(G41/F41&lt;=0.2,"P","0"))))</f>
        <v>0</v>
      </c>
      <c r="J41" s="6"/>
      <c r="K41" s="8" t="s">
        <v>247</v>
      </c>
    </row>
    <row r="42" customFormat="false" ht="15" hidden="false" customHeight="false" outlineLevel="0" collapsed="false">
      <c r="A42" s="6" t="n">
        <v>96</v>
      </c>
      <c r="B42" s="7" t="s">
        <v>99</v>
      </c>
      <c r="C42" s="6" t="s">
        <v>184</v>
      </c>
      <c r="D42" s="6" t="s">
        <v>93</v>
      </c>
      <c r="E42" s="6" t="s">
        <v>63</v>
      </c>
      <c r="F42" s="9" t="n">
        <v>18</v>
      </c>
      <c r="G42" s="9" t="n">
        <v>2</v>
      </c>
      <c r="H42" s="10" t="n">
        <f aca="false">IF(F42=0,"n/d",G42/F42)</f>
        <v>0.111111111111111</v>
      </c>
      <c r="I42" s="6" t="str">
        <f aca="false">IF(OR(F42="",G42=""),"",IF(G42&gt;F42,"IMPOSIBLE",IF(G42=0,"1",IF(G42/F42&lt;=0.2,"P","0"))))</f>
        <v>P</v>
      </c>
      <c r="J42" s="6" t="s">
        <v>229</v>
      </c>
      <c r="K42" s="8"/>
    </row>
    <row r="43" customFormat="false" ht="15" hidden="false" customHeight="false" outlineLevel="0" collapsed="false">
      <c r="A43" s="6" t="n">
        <v>96</v>
      </c>
      <c r="B43" s="7" t="s">
        <v>99</v>
      </c>
      <c r="C43" s="6" t="s">
        <v>184</v>
      </c>
      <c r="D43" s="6" t="s">
        <v>105</v>
      </c>
      <c r="E43" s="6" t="s">
        <v>56</v>
      </c>
      <c r="F43" s="9" t="n">
        <v>26</v>
      </c>
      <c r="G43" s="9" t="n">
        <v>19</v>
      </c>
      <c r="H43" s="10" t="n">
        <f aca="false">IF(F43=0,"n/d",G43/F43)</f>
        <v>0.730769230769231</v>
      </c>
      <c r="I43" s="6" t="str">
        <f aca="false">IF(OR(F43="",G43=""),"",IF(G43&gt;F43,"IMPOSIBLE",IF(G43=0,"1",IF(G43/F43&lt;=0.2,"P","0"))))</f>
        <v>0</v>
      </c>
      <c r="J43" s="6"/>
      <c r="K43" s="8"/>
    </row>
    <row r="44" customFormat="false" ht="15" hidden="false" customHeight="true" outlineLevel="0" collapsed="false">
      <c r="A44" s="6" t="n">
        <v>102</v>
      </c>
      <c r="B44" s="7" t="s">
        <v>102</v>
      </c>
      <c r="C44" s="6" t="s">
        <v>182</v>
      </c>
      <c r="D44" s="6" t="s">
        <v>93</v>
      </c>
      <c r="E44" s="6" t="s">
        <v>63</v>
      </c>
      <c r="F44" s="9" t="n">
        <v>8</v>
      </c>
      <c r="G44" s="9" t="n">
        <v>1</v>
      </c>
      <c r="H44" s="10" t="n">
        <f aca="false">IF(F44=0,"n/d",G44/F44)</f>
        <v>0.125</v>
      </c>
      <c r="I44" s="6" t="str">
        <f aca="false">IF(OR(F44="",G44=""),"",IF(G44&gt;F44,"IMPOSIBLE",IF(G44=0,"1",IF(G44/F44&lt;=0.2,"P","0"))))</f>
        <v>P</v>
      </c>
      <c r="J44" s="6" t="s">
        <v>229</v>
      </c>
      <c r="K44" s="8" t="s">
        <v>248</v>
      </c>
    </row>
    <row r="45" customFormat="false" ht="15" hidden="false" customHeight="false" outlineLevel="0" collapsed="false">
      <c r="A45" s="6" t="n">
        <v>102</v>
      </c>
      <c r="B45" s="7" t="s">
        <v>102</v>
      </c>
      <c r="C45" s="6" t="s">
        <v>182</v>
      </c>
      <c r="D45" s="6" t="s">
        <v>105</v>
      </c>
      <c r="E45" s="6" t="s">
        <v>57</v>
      </c>
      <c r="F45" s="9" t="n">
        <v>8</v>
      </c>
      <c r="G45" s="9" t="n">
        <v>0</v>
      </c>
      <c r="H45" s="10" t="n">
        <f aca="false">IF(F45=0,"n/d",G45/F45)</f>
        <v>0</v>
      </c>
      <c r="I45" s="6" t="str">
        <f aca="false">IF(OR(F45="",G45=""),"",IF(G45&gt;F45,"IMPOSIBLE",IF(G45=0,"1",IF(G45/F45&lt;=0.2,"P","0"))))</f>
        <v>1</v>
      </c>
      <c r="J45" s="6"/>
      <c r="K45" s="8"/>
    </row>
    <row r="46" customFormat="false" ht="15" hidden="false" customHeight="true" outlineLevel="0" collapsed="false">
      <c r="A46" s="6" t="n">
        <v>102</v>
      </c>
      <c r="B46" s="7" t="s">
        <v>102</v>
      </c>
      <c r="C46" s="6" t="s">
        <v>183</v>
      </c>
      <c r="D46" s="6" t="s">
        <v>93</v>
      </c>
      <c r="E46" s="6" t="s">
        <v>56</v>
      </c>
      <c r="F46" s="9" t="n">
        <v>15</v>
      </c>
      <c r="G46" s="9" t="n">
        <v>6</v>
      </c>
      <c r="H46" s="10" t="n">
        <f aca="false">IF(F46=0,"n/d",G46/F46)</f>
        <v>0.4</v>
      </c>
      <c r="I46" s="6" t="str">
        <f aca="false">IF(OR(F46="",G46=""),"",IF(G46&gt;F46,"IMPOSIBLE",IF(G46=0,"1",IF(G46/F46&lt;=0.2,"P","0"))))</f>
        <v>0</v>
      </c>
      <c r="J46" s="6" t="s">
        <v>229</v>
      </c>
      <c r="K46" s="8" t="s">
        <v>249</v>
      </c>
    </row>
    <row r="47" customFormat="false" ht="15" hidden="false" customHeight="false" outlineLevel="0" collapsed="false">
      <c r="A47" s="6" t="n">
        <v>102</v>
      </c>
      <c r="B47" s="7" t="s">
        <v>102</v>
      </c>
      <c r="C47" s="6" t="s">
        <v>183</v>
      </c>
      <c r="D47" s="6" t="s">
        <v>105</v>
      </c>
      <c r="E47" s="6" t="s">
        <v>56</v>
      </c>
      <c r="F47" s="9" t="n">
        <v>25</v>
      </c>
      <c r="G47" s="9" t="n">
        <v>17</v>
      </c>
      <c r="H47" s="10" t="n">
        <f aca="false">IF(F47=0,"n/d",G47/F47)</f>
        <v>0.68</v>
      </c>
      <c r="I47" s="6" t="str">
        <f aca="false">IF(OR(F47="",G47=""),"",IF(G47&gt;F47,"IMPOSIBLE",IF(G47=0,"1",IF(G47/F47&lt;=0.2,"P","0"))))</f>
        <v>0</v>
      </c>
      <c r="J47" s="6"/>
      <c r="K47" s="8"/>
    </row>
    <row r="48" customFormat="false" ht="15" hidden="false" customHeight="true" outlineLevel="0" collapsed="false">
      <c r="A48" s="6" t="n">
        <v>102</v>
      </c>
      <c r="B48" s="7" t="s">
        <v>102</v>
      </c>
      <c r="C48" s="6" t="s">
        <v>184</v>
      </c>
      <c r="D48" s="6" t="s">
        <v>93</v>
      </c>
      <c r="E48" s="6" t="s">
        <v>56</v>
      </c>
      <c r="F48" s="9" t="n">
        <v>25</v>
      </c>
      <c r="G48" s="9" t="n">
        <v>10</v>
      </c>
      <c r="H48" s="10" t="n">
        <f aca="false">IF(F48=0,"n/d",G48/F48)</f>
        <v>0.4</v>
      </c>
      <c r="I48" s="6" t="str">
        <f aca="false">IF(OR(F48="",G48=""),"",IF(G48&gt;F48,"IMPOSIBLE",IF(G48=0,"1",IF(G48/F48&lt;=0.2,"P","0"))))</f>
        <v>0</v>
      </c>
      <c r="J48" s="6" t="s">
        <v>229</v>
      </c>
      <c r="K48" s="8" t="s">
        <v>250</v>
      </c>
    </row>
    <row r="49" customFormat="false" ht="15" hidden="false" customHeight="false" outlineLevel="0" collapsed="false">
      <c r="A49" s="6" t="n">
        <v>102</v>
      </c>
      <c r="B49" s="7" t="s">
        <v>102</v>
      </c>
      <c r="C49" s="6" t="s">
        <v>184</v>
      </c>
      <c r="D49" s="6" t="s">
        <v>105</v>
      </c>
      <c r="E49" s="6" t="s">
        <v>56</v>
      </c>
      <c r="F49" s="9" t="n">
        <v>22</v>
      </c>
      <c r="G49" s="9" t="n">
        <v>14</v>
      </c>
      <c r="H49" s="10" t="n">
        <f aca="false">IF(F49=0,"n/d",G49/F49)</f>
        <v>0.636363636363636</v>
      </c>
      <c r="I49" s="6" t="str">
        <f aca="false">IF(OR(F49="",G49=""),"",IF(G49&gt;F49,"IMPOSIBLE",IF(G49=0,"1",IF(G49/F49&lt;=0.2,"P","0"))))</f>
        <v>0</v>
      </c>
      <c r="J49" s="6"/>
      <c r="K49" s="8"/>
    </row>
    <row r="50" customFormat="false" ht="15" hidden="false" customHeight="true" outlineLevel="0" collapsed="false">
      <c r="A50" s="6" t="n">
        <v>106</v>
      </c>
      <c r="B50" s="7" t="s">
        <v>116</v>
      </c>
      <c r="C50" s="6" t="s">
        <v>182</v>
      </c>
      <c r="D50" s="6" t="s">
        <v>117</v>
      </c>
      <c r="E50" s="6" t="s">
        <v>56</v>
      </c>
      <c r="F50" s="9" t="n">
        <v>25</v>
      </c>
      <c r="G50" s="9" t="n">
        <v>7</v>
      </c>
      <c r="H50" s="10" t="n">
        <f aca="false">IF(F50=0,"n/d",G50/F50)</f>
        <v>0.28</v>
      </c>
      <c r="I50" s="6" t="str">
        <f aca="false">IF(OR(F50="",G50=""),"",IF(G50&gt;F50,"IMPOSIBLE",IF(G50=0,"1",IF(G50/F50&lt;=0.2,"P","0"))))</f>
        <v>0</v>
      </c>
      <c r="J50" s="6" t="s">
        <v>229</v>
      </c>
      <c r="K50" s="8" t="s">
        <v>251</v>
      </c>
    </row>
    <row r="51" customFormat="false" ht="15" hidden="false" customHeight="false" outlineLevel="0" collapsed="false">
      <c r="A51" s="6" t="n">
        <v>106</v>
      </c>
      <c r="B51" s="7" t="s">
        <v>116</v>
      </c>
      <c r="C51" s="6" t="s">
        <v>182</v>
      </c>
      <c r="D51" s="6" t="s">
        <v>145</v>
      </c>
      <c r="E51" s="6" t="s">
        <v>56</v>
      </c>
      <c r="F51" s="9" t="n">
        <v>26</v>
      </c>
      <c r="G51" s="9" t="n">
        <v>16</v>
      </c>
      <c r="H51" s="10" t="n">
        <f aca="false">IF(F51=0,"n/d",G51/F51)</f>
        <v>0.615384615384615</v>
      </c>
      <c r="I51" s="6" t="str">
        <f aca="false">IF(OR(F51="",G51=""),"",IF(G51&gt;F51,"IMPOSIBLE",IF(G51=0,"1",IF(G51/F51&lt;=0.2,"P","0"))))</f>
        <v>0</v>
      </c>
      <c r="J51" s="6"/>
      <c r="K51" s="8"/>
    </row>
    <row r="52" customFormat="false" ht="15" hidden="false" customHeight="true" outlineLevel="0" collapsed="false">
      <c r="A52" s="6" t="n">
        <v>106</v>
      </c>
      <c r="B52" s="7" t="s">
        <v>116</v>
      </c>
      <c r="C52" s="6" t="s">
        <v>183</v>
      </c>
      <c r="D52" s="6" t="s">
        <v>117</v>
      </c>
      <c r="E52" s="6" t="s">
        <v>63</v>
      </c>
      <c r="F52" s="9" t="n">
        <v>25</v>
      </c>
      <c r="G52" s="9" t="n">
        <v>4</v>
      </c>
      <c r="H52" s="10" t="n">
        <f aca="false">IF(F52=0,"n/d",G52/F52)</f>
        <v>0.16</v>
      </c>
      <c r="I52" s="6" t="str">
        <f aca="false">IF(OR(F52="",G52=""),"",IF(G52&gt;F52,"IMPOSIBLE",IF(G52=0,"1",IF(G52/F52&lt;=0.2,"P","0"))))</f>
        <v>P</v>
      </c>
      <c r="J52" s="6" t="s">
        <v>229</v>
      </c>
      <c r="K52" s="8" t="s">
        <v>252</v>
      </c>
    </row>
    <row r="53" customFormat="false" ht="15" hidden="false" customHeight="false" outlineLevel="0" collapsed="false">
      <c r="A53" s="6" t="n">
        <v>106</v>
      </c>
      <c r="B53" s="7" t="s">
        <v>116</v>
      </c>
      <c r="C53" s="6" t="s">
        <v>183</v>
      </c>
      <c r="D53" s="6" t="s">
        <v>145</v>
      </c>
      <c r="E53" s="6" t="s">
        <v>63</v>
      </c>
      <c r="F53" s="9" t="n">
        <v>18</v>
      </c>
      <c r="G53" s="9" t="n">
        <v>1</v>
      </c>
      <c r="H53" s="10" t="n">
        <f aca="false">IF(F53=0,"n/d",G53/F53)</f>
        <v>0.0555555555555556</v>
      </c>
      <c r="I53" s="6" t="str">
        <f aca="false">IF(OR(F53="",G53=""),"",IF(G53&gt;F53,"IMPOSIBLE",IF(G53=0,"1",IF(G53/F53&lt;=0.2,"P","0"))))</f>
        <v>P</v>
      </c>
      <c r="J53" s="6"/>
      <c r="K53" s="8"/>
    </row>
    <row r="54" customFormat="false" ht="15" hidden="false" customHeight="true" outlineLevel="0" collapsed="false">
      <c r="A54" s="6" t="n">
        <v>106</v>
      </c>
      <c r="B54" s="7" t="s">
        <v>116</v>
      </c>
      <c r="C54" s="6" t="s">
        <v>184</v>
      </c>
      <c r="D54" s="6" t="s">
        <v>117</v>
      </c>
      <c r="E54" s="6" t="s">
        <v>63</v>
      </c>
      <c r="F54" s="9" t="n">
        <v>25</v>
      </c>
      <c r="G54" s="9" t="n">
        <v>3</v>
      </c>
      <c r="H54" s="10" t="n">
        <f aca="false">IF(F54=0,"n/d",G54/F54)</f>
        <v>0.12</v>
      </c>
      <c r="I54" s="6" t="str">
        <f aca="false">IF(OR(F54="",G54=""),"",IF(G54&gt;F54,"IMPOSIBLE",IF(G54=0,"1",IF(G54/F54&lt;=0.2,"P","0"))))</f>
        <v>P</v>
      </c>
      <c r="J54" s="6" t="s">
        <v>229</v>
      </c>
      <c r="K54" s="8" t="s">
        <v>253</v>
      </c>
    </row>
    <row r="55" customFormat="false" ht="15" hidden="false" customHeight="false" outlineLevel="0" collapsed="false">
      <c r="A55" s="6" t="n">
        <v>106</v>
      </c>
      <c r="B55" s="7" t="s">
        <v>116</v>
      </c>
      <c r="C55" s="6" t="s">
        <v>184</v>
      </c>
      <c r="D55" s="6" t="s">
        <v>145</v>
      </c>
      <c r="E55" s="6" t="s">
        <v>63</v>
      </c>
      <c r="F55" s="9" t="n">
        <v>25</v>
      </c>
      <c r="G55" s="9" t="n">
        <v>3</v>
      </c>
      <c r="H55" s="10" t="n">
        <f aca="false">IF(F55=0,"n/d",G55/F55)</f>
        <v>0.12</v>
      </c>
      <c r="I55" s="6" t="str">
        <f aca="false">IF(OR(F55="",G55=""),"",IF(G55&gt;F55,"IMPOSIBLE",IF(G55=0,"1",IF(G55/F55&lt;=0.2,"P","0"))))</f>
        <v>P</v>
      </c>
      <c r="J55" s="6"/>
      <c r="K55" s="8"/>
    </row>
    <row r="56" customFormat="false" ht="15" hidden="false" customHeight="true" outlineLevel="0" collapsed="false">
      <c r="A56" s="6" t="n">
        <v>114</v>
      </c>
      <c r="B56" s="7" t="s">
        <v>123</v>
      </c>
      <c r="C56" s="6" t="s">
        <v>182</v>
      </c>
      <c r="D56" s="6" t="s">
        <v>117</v>
      </c>
      <c r="E56" s="6" t="s">
        <v>56</v>
      </c>
      <c r="F56" s="9" t="n">
        <v>25</v>
      </c>
      <c r="G56" s="9" t="n">
        <v>6</v>
      </c>
      <c r="H56" s="10" t="n">
        <f aca="false">IF(F56=0,"n/d",G56/F56)</f>
        <v>0.24</v>
      </c>
      <c r="I56" s="6" t="str">
        <f aca="false">IF(OR(F56="",G56=""),"",IF(G56&gt;F56,"IMPOSIBLE",IF(G56=0,"1",IF(G56/F56&lt;=0.2,"P","0"))))</f>
        <v>0</v>
      </c>
      <c r="J56" s="6" t="s">
        <v>229</v>
      </c>
      <c r="K56" s="8" t="s">
        <v>254</v>
      </c>
    </row>
    <row r="57" customFormat="false" ht="15" hidden="false" customHeight="false" outlineLevel="0" collapsed="false">
      <c r="A57" s="6" t="n">
        <v>114</v>
      </c>
      <c r="B57" s="7" t="s">
        <v>123</v>
      </c>
      <c r="C57" s="6" t="s">
        <v>182</v>
      </c>
      <c r="D57" s="6" t="s">
        <v>169</v>
      </c>
      <c r="E57" s="6" t="s">
        <v>63</v>
      </c>
      <c r="F57" s="9" t="n">
        <v>24</v>
      </c>
      <c r="G57" s="9" t="n">
        <v>10</v>
      </c>
      <c r="H57" s="10" t="n">
        <f aca="false">IF(F57=0,"n/d",G57/F57)</f>
        <v>0.416666666666667</v>
      </c>
      <c r="I57" s="6" t="str">
        <f aca="false">IF(OR(F57="",G57=""),"",IF(G57&gt;F57,"IMPOSIBLE",IF(G57=0,"1",IF(G57/F57&lt;=0.2,"P","0"))))</f>
        <v>0</v>
      </c>
      <c r="J57" s="6"/>
      <c r="K57" s="8"/>
    </row>
    <row r="58" customFormat="false" ht="15" hidden="false" customHeight="true" outlineLevel="0" collapsed="false">
      <c r="A58" s="6" t="n">
        <v>114</v>
      </c>
      <c r="B58" s="7" t="s">
        <v>123</v>
      </c>
      <c r="C58" s="6" t="s">
        <v>183</v>
      </c>
      <c r="D58" s="6" t="s">
        <v>117</v>
      </c>
      <c r="E58" s="6" t="s">
        <v>63</v>
      </c>
      <c r="F58" s="9" t="n">
        <v>25</v>
      </c>
      <c r="G58" s="9" t="n">
        <v>4</v>
      </c>
      <c r="H58" s="10" t="n">
        <f aca="false">IF(F58=0,"n/d",G58/F58)</f>
        <v>0.16</v>
      </c>
      <c r="I58" s="6" t="str">
        <f aca="false">IF(OR(F58="",G58=""),"",IF(G58&gt;F58,"IMPOSIBLE",IF(G58=0,"1",IF(G58/F58&lt;=0.2,"P","0"))))</f>
        <v>P</v>
      </c>
      <c r="J58" s="6" t="s">
        <v>229</v>
      </c>
      <c r="K58" s="8" t="s">
        <v>255</v>
      </c>
    </row>
    <row r="59" customFormat="false" ht="15" hidden="false" customHeight="false" outlineLevel="0" collapsed="false">
      <c r="A59" s="6" t="n">
        <v>114</v>
      </c>
      <c r="B59" s="7" t="s">
        <v>123</v>
      </c>
      <c r="C59" s="6" t="s">
        <v>183</v>
      </c>
      <c r="D59" s="6" t="s">
        <v>169</v>
      </c>
      <c r="E59" s="6" t="s">
        <v>56</v>
      </c>
      <c r="F59" s="9" t="n">
        <v>24</v>
      </c>
      <c r="G59" s="9" t="n">
        <v>10</v>
      </c>
      <c r="H59" s="10" t="n">
        <f aca="false">IF(F59=0,"n/d",G59/F59)</f>
        <v>0.416666666666667</v>
      </c>
      <c r="I59" s="6" t="str">
        <f aca="false">IF(OR(F59="",G59=""),"",IF(G59&gt;F59,"IMPOSIBLE",IF(G59=0,"1",IF(G59/F59&lt;=0.2,"P","0"))))</f>
        <v>0</v>
      </c>
      <c r="J59" s="6"/>
      <c r="K59" s="8"/>
    </row>
    <row r="60" customFormat="false" ht="15" hidden="false" customHeight="true" outlineLevel="0" collapsed="false">
      <c r="A60" s="6" t="n">
        <v>114</v>
      </c>
      <c r="B60" s="7" t="s">
        <v>123</v>
      </c>
      <c r="C60" s="6" t="s">
        <v>184</v>
      </c>
      <c r="D60" s="6" t="s">
        <v>117</v>
      </c>
      <c r="E60" s="6" t="s">
        <v>57</v>
      </c>
      <c r="F60" s="9" t="n">
        <v>25</v>
      </c>
      <c r="G60" s="9" t="n">
        <v>0</v>
      </c>
      <c r="H60" s="10" t="n">
        <f aca="false">IF(F60=0,"n/d",G60/F60)</f>
        <v>0</v>
      </c>
      <c r="I60" s="6" t="str">
        <f aca="false">IF(OR(F60="",G60=""),"",IF(G60&gt;F60,"IMPOSIBLE",IF(G60=0,"1",IF(G60/F60&lt;=0.2,"P","0"))))</f>
        <v>1</v>
      </c>
      <c r="J60" s="6" t="s">
        <v>229</v>
      </c>
      <c r="K60" s="8" t="s">
        <v>256</v>
      </c>
    </row>
    <row r="61" customFormat="false" ht="15" hidden="false" customHeight="false" outlineLevel="0" collapsed="false">
      <c r="A61" s="6" t="n">
        <v>114</v>
      </c>
      <c r="B61" s="7" t="s">
        <v>123</v>
      </c>
      <c r="C61" s="6" t="s">
        <v>184</v>
      </c>
      <c r="D61" s="6" t="s">
        <v>169</v>
      </c>
      <c r="E61" s="6" t="s">
        <v>56</v>
      </c>
      <c r="F61" s="9" t="n">
        <v>24</v>
      </c>
      <c r="G61" s="9" t="n">
        <v>10</v>
      </c>
      <c r="H61" s="10" t="n">
        <f aca="false">IF(F61=0,"n/d",G61/F61)</f>
        <v>0.416666666666667</v>
      </c>
      <c r="I61" s="6" t="str">
        <f aca="false">IF(OR(F61="",G61=""),"",IF(G61&gt;F61,"IMPOSIBLE",IF(G61=0,"1",IF(G61/F61&lt;=0.2,"P","0"))))</f>
        <v>0</v>
      </c>
      <c r="J61" s="6"/>
      <c r="K61" s="8"/>
    </row>
  </sheetData>
  <mergeCells count="27">
    <mergeCell ref="K2:K3"/>
    <mergeCell ref="K4:K5"/>
    <mergeCell ref="K6:K7"/>
    <mergeCell ref="K8:K9"/>
    <mergeCell ref="K10:K11"/>
    <mergeCell ref="K12:K13"/>
    <mergeCell ref="K14:K15"/>
    <mergeCell ref="K16:K17"/>
    <mergeCell ref="K18:K19"/>
    <mergeCell ref="K20:K22"/>
    <mergeCell ref="K23:K25"/>
    <mergeCell ref="K26:K28"/>
    <mergeCell ref="K29:K30"/>
    <mergeCell ref="K31:K32"/>
    <mergeCell ref="K33:K34"/>
    <mergeCell ref="K35:K37"/>
    <mergeCell ref="K38:K40"/>
    <mergeCell ref="K41:K43"/>
    <mergeCell ref="K44:K45"/>
    <mergeCell ref="K46:K47"/>
    <mergeCell ref="K48:K49"/>
    <mergeCell ref="K50:K51"/>
    <mergeCell ref="K52:K53"/>
    <mergeCell ref="K54:K55"/>
    <mergeCell ref="K56:K57"/>
    <mergeCell ref="K58:K59"/>
    <mergeCell ref="K60:K61"/>
  </mergeCells>
  <conditionalFormatting sqref="J2:J61">
    <cfRule type="cellIs" priority="2" operator="equal" aboveAverage="0" equalAverage="0" bottom="0" percent="0" rank="0" text="" dxfId="6">
      <formula>"RETENIDO"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8"/>
    <col collapsed="false" customWidth="true" hidden="false" outlineLevel="0" max="4" min="4" style="0" width="10"/>
    <col collapsed="false" customWidth="true" hidden="false" outlineLevel="0" max="5" min="5" style="0" width="40"/>
    <col collapsed="false" customWidth="true" hidden="false" outlineLevel="0" max="6" min="6" style="0" width="20"/>
    <col collapsed="false" customWidth="true" hidden="false" outlineLevel="0" max="7" min="7" style="0" width="12"/>
    <col collapsed="false" customWidth="true" hidden="false" outlineLevel="0" max="8" min="8" style="0" width="52"/>
    <col collapsed="false" customWidth="true" hidden="false" outlineLevel="0" max="9" min="9" style="0" width="14"/>
    <col collapsed="false" customWidth="true" hidden="false" outlineLevel="0" max="10" min="10" style="0" width="110"/>
  </cols>
  <sheetData>
    <row r="1" customFormat="false" ht="42" hidden="false" customHeight="true" outlineLevel="0" collapsed="false">
      <c r="A1" s="5" t="s">
        <v>31</v>
      </c>
      <c r="B1" s="5" t="s">
        <v>32</v>
      </c>
      <c r="C1" s="5" t="s">
        <v>257</v>
      </c>
      <c r="D1" s="5" t="s">
        <v>45</v>
      </c>
      <c r="E1" s="5" t="s">
        <v>258</v>
      </c>
      <c r="F1" s="5" t="s">
        <v>259</v>
      </c>
      <c r="G1" s="5" t="s">
        <v>260</v>
      </c>
      <c r="H1" s="5" t="s">
        <v>261</v>
      </c>
      <c r="I1" s="5" t="s">
        <v>262</v>
      </c>
      <c r="J1" s="5" t="s">
        <v>263</v>
      </c>
    </row>
    <row r="2" customFormat="false" ht="35.05" hidden="false" customHeight="false" outlineLevel="0" collapsed="false">
      <c r="A2" s="7" t="s">
        <v>50</v>
      </c>
      <c r="B2" s="8" t="s">
        <v>51</v>
      </c>
      <c r="C2" s="9" t="n">
        <v>5</v>
      </c>
      <c r="D2" s="9" t="n">
        <v>15</v>
      </c>
      <c r="E2" s="8" t="s">
        <v>264</v>
      </c>
      <c r="F2" s="6" t="s">
        <v>265</v>
      </c>
      <c r="G2" s="14" t="n">
        <v>1</v>
      </c>
      <c r="H2" s="8" t="s">
        <v>266</v>
      </c>
      <c r="I2" s="6" t="s">
        <v>267</v>
      </c>
      <c r="J2" s="8" t="s">
        <v>268</v>
      </c>
    </row>
    <row r="3" customFormat="false" ht="35.05" hidden="false" customHeight="false" outlineLevel="0" collapsed="false">
      <c r="A3" s="7" t="s">
        <v>93</v>
      </c>
      <c r="B3" s="8" t="s">
        <v>94</v>
      </c>
      <c r="C3" s="9" t="n">
        <v>3</v>
      </c>
      <c r="D3" s="9" t="n">
        <v>7</v>
      </c>
      <c r="E3" s="8" t="s">
        <v>269</v>
      </c>
      <c r="F3" s="6" t="s">
        <v>270</v>
      </c>
      <c r="G3" s="14" t="n">
        <v>1</v>
      </c>
      <c r="H3" s="8" t="s">
        <v>271</v>
      </c>
      <c r="I3" s="6" t="s">
        <v>267</v>
      </c>
      <c r="J3" s="8" t="s">
        <v>272</v>
      </c>
    </row>
    <row r="4" customFormat="false" ht="35.05" hidden="false" customHeight="false" outlineLevel="0" collapsed="false">
      <c r="A4" s="7" t="s">
        <v>161</v>
      </c>
      <c r="B4" s="8" t="s">
        <v>162</v>
      </c>
      <c r="C4" s="9" t="n">
        <v>1</v>
      </c>
      <c r="D4" s="9" t="n">
        <v>3</v>
      </c>
      <c r="E4" s="8" t="s">
        <v>273</v>
      </c>
      <c r="F4" s="6" t="s">
        <v>274</v>
      </c>
      <c r="G4" s="14" t="n">
        <v>1</v>
      </c>
      <c r="H4" s="8" t="s">
        <v>275</v>
      </c>
      <c r="I4" s="6" t="s">
        <v>267</v>
      </c>
      <c r="J4" s="8" t="s">
        <v>276</v>
      </c>
    </row>
    <row r="5" customFormat="false" ht="46.25" hidden="false" customHeight="false" outlineLevel="0" collapsed="false">
      <c r="A5" s="7" t="s">
        <v>145</v>
      </c>
      <c r="B5" s="8" t="s">
        <v>146</v>
      </c>
      <c r="C5" s="9" t="n">
        <v>3</v>
      </c>
      <c r="D5" s="9" t="n">
        <v>11</v>
      </c>
      <c r="E5" s="8" t="s">
        <v>277</v>
      </c>
      <c r="F5" s="6" t="s">
        <v>270</v>
      </c>
      <c r="G5" s="14" t="n">
        <v>1</v>
      </c>
      <c r="H5" s="8" t="s">
        <v>278</v>
      </c>
      <c r="I5" s="6" t="s">
        <v>279</v>
      </c>
      <c r="J5" s="8" t="s">
        <v>280</v>
      </c>
    </row>
    <row r="6" customFormat="false" ht="23.85" hidden="false" customHeight="false" outlineLevel="0" collapsed="false">
      <c r="A6" s="7" t="s">
        <v>105</v>
      </c>
      <c r="B6" s="8" t="s">
        <v>106</v>
      </c>
      <c r="C6" s="9" t="n">
        <v>2</v>
      </c>
      <c r="D6" s="9" t="n">
        <v>16</v>
      </c>
      <c r="E6" s="8" t="s">
        <v>110</v>
      </c>
      <c r="F6" s="6" t="s">
        <v>281</v>
      </c>
      <c r="G6" s="14" t="n">
        <v>1</v>
      </c>
      <c r="H6" s="8" t="s">
        <v>266</v>
      </c>
      <c r="I6" s="6" t="s">
        <v>282</v>
      </c>
      <c r="J6" s="8" t="s">
        <v>283</v>
      </c>
    </row>
    <row r="7" customFormat="false" ht="35.05" hidden="false" customHeight="false" outlineLevel="0" collapsed="false">
      <c r="A7" s="7" t="s">
        <v>77</v>
      </c>
      <c r="B7" s="8" t="s">
        <v>78</v>
      </c>
      <c r="C7" s="9" t="n">
        <v>3</v>
      </c>
      <c r="D7" s="9" t="n">
        <v>11</v>
      </c>
      <c r="E7" s="8" t="s">
        <v>284</v>
      </c>
      <c r="F7" s="6" t="s">
        <v>270</v>
      </c>
      <c r="G7" s="14" t="n">
        <v>1</v>
      </c>
      <c r="H7" s="8" t="s">
        <v>285</v>
      </c>
      <c r="I7" s="6" t="s">
        <v>279</v>
      </c>
      <c r="J7" s="8" t="s">
        <v>286</v>
      </c>
    </row>
    <row r="8" customFormat="false" ht="23.85" hidden="false" customHeight="false" outlineLevel="0" collapsed="false">
      <c r="A8" s="7" t="s">
        <v>117</v>
      </c>
      <c r="B8" s="8" t="s">
        <v>118</v>
      </c>
      <c r="C8" s="9" t="n">
        <v>2</v>
      </c>
      <c r="D8" s="9" t="n">
        <v>4</v>
      </c>
      <c r="E8" s="8" t="s">
        <v>269</v>
      </c>
      <c r="F8" s="6" t="s">
        <v>281</v>
      </c>
      <c r="G8" s="14" t="n">
        <v>1</v>
      </c>
      <c r="H8" s="8" t="s">
        <v>287</v>
      </c>
      <c r="I8" s="6" t="s">
        <v>279</v>
      </c>
      <c r="J8" s="8" t="s">
        <v>288</v>
      </c>
    </row>
    <row r="9" customFormat="false" ht="35.05" hidden="false" customHeight="false" outlineLevel="0" collapsed="false">
      <c r="A9" s="7" t="s">
        <v>126</v>
      </c>
      <c r="B9" s="8" t="s">
        <v>127</v>
      </c>
      <c r="C9" s="9" t="n">
        <v>2</v>
      </c>
      <c r="D9" s="9" t="n">
        <v>5</v>
      </c>
      <c r="E9" s="8" t="s">
        <v>289</v>
      </c>
      <c r="F9" s="6" t="s">
        <v>290</v>
      </c>
      <c r="G9" s="14" t="n">
        <v>0.666666666666667</v>
      </c>
      <c r="H9" s="8" t="s">
        <v>291</v>
      </c>
      <c r="I9" s="6" t="s">
        <v>292</v>
      </c>
      <c r="J9" s="8" t="s">
        <v>293</v>
      </c>
    </row>
    <row r="10" customFormat="false" ht="35.05" hidden="false" customHeight="false" outlineLevel="0" collapsed="false">
      <c r="A10" s="7" t="s">
        <v>169</v>
      </c>
      <c r="B10" s="8" t="s">
        <v>170</v>
      </c>
      <c r="C10" s="9" t="n">
        <v>3</v>
      </c>
      <c r="D10" s="9" t="n">
        <v>8</v>
      </c>
      <c r="E10" s="8" t="s">
        <v>294</v>
      </c>
      <c r="F10" s="6" t="s">
        <v>295</v>
      </c>
      <c r="G10" s="14" t="n">
        <v>0.222222222222222</v>
      </c>
      <c r="H10" s="8" t="s">
        <v>296</v>
      </c>
      <c r="I10" s="6" t="s">
        <v>297</v>
      </c>
      <c r="J10" s="8" t="s">
        <v>298</v>
      </c>
    </row>
    <row r="11" customFormat="false" ht="35.05" hidden="false" customHeight="false" outlineLevel="0" collapsed="false">
      <c r="A11" s="7" t="s">
        <v>136</v>
      </c>
      <c r="B11" s="8" t="s">
        <v>137</v>
      </c>
      <c r="C11" s="9" t="n">
        <v>2</v>
      </c>
      <c r="D11" s="9" t="n">
        <v>19</v>
      </c>
      <c r="E11" s="8" t="s">
        <v>294</v>
      </c>
      <c r="F11" s="6" t="s">
        <v>290</v>
      </c>
      <c r="G11" s="14" t="n">
        <v>0.666666666666667</v>
      </c>
      <c r="H11" s="8" t="s">
        <v>299</v>
      </c>
      <c r="I11" s="6" t="s">
        <v>297</v>
      </c>
      <c r="J11" s="8" t="s">
        <v>300</v>
      </c>
    </row>
  </sheetData>
  <conditionalFormatting sqref="G2:G11">
    <cfRule type="colorScale" priority="2">
      <colorScale>
        <cfvo type="num" val="0"/>
        <cfvo type="num" val="0.8"/>
        <cfvo type="num" val="1"/>
        <color rgb="FFFFC7CE"/>
        <color rgb="FFFFEB9C"/>
        <color rgb="FFC6EFC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15"/>
    <col collapsed="false" customWidth="true" hidden="false" outlineLevel="0" max="4" min="4" style="0" width="36"/>
    <col collapsed="false" customWidth="true" hidden="false" outlineLevel="0" max="5" min="5" style="0" width="14"/>
    <col collapsed="false" customWidth="true" hidden="false" outlineLevel="0" max="6" min="6" style="0" width="34"/>
    <col collapsed="false" customWidth="true" hidden="false" outlineLevel="0" max="7" min="7" style="0" width="24"/>
    <col collapsed="false" customWidth="true" hidden="false" outlineLevel="0" max="8" min="8" style="0" width="30"/>
  </cols>
  <sheetData>
    <row r="1" customFormat="false" ht="42" hidden="false" customHeight="true" outlineLevel="0" collapsed="false">
      <c r="A1" s="5" t="s">
        <v>28</v>
      </c>
      <c r="B1" s="5" t="s">
        <v>29</v>
      </c>
      <c r="C1" s="5" t="s">
        <v>30</v>
      </c>
      <c r="D1" s="5" t="s">
        <v>179</v>
      </c>
      <c r="E1" s="5" t="s">
        <v>301</v>
      </c>
      <c r="F1" s="5" t="s">
        <v>302</v>
      </c>
      <c r="G1" s="5" t="s">
        <v>181</v>
      </c>
      <c r="H1" s="5" t="s">
        <v>303</v>
      </c>
    </row>
    <row r="2" customFormat="false" ht="23.85" hidden="false" customHeight="false" outlineLevel="0" collapsed="false">
      <c r="A2" s="6" t="n">
        <v>7</v>
      </c>
      <c r="B2" s="6" t="s">
        <v>48</v>
      </c>
      <c r="C2" s="7" t="s">
        <v>49</v>
      </c>
      <c r="D2" s="8" t="s">
        <v>187</v>
      </c>
      <c r="E2" s="9" t="n">
        <v>2</v>
      </c>
      <c r="F2" s="8" t="s">
        <v>304</v>
      </c>
      <c r="G2" s="11" t="s">
        <v>188</v>
      </c>
      <c r="H2" s="8" t="s">
        <v>305</v>
      </c>
    </row>
    <row r="3" customFormat="false" ht="15" hidden="false" customHeight="false" outlineLevel="0" collapsed="false">
      <c r="A3" s="6" t="n">
        <v>14</v>
      </c>
      <c r="B3" s="6" t="s">
        <v>48</v>
      </c>
      <c r="C3" s="7" t="s">
        <v>60</v>
      </c>
      <c r="D3" s="8" t="s">
        <v>190</v>
      </c>
      <c r="E3" s="9" t="n">
        <v>1</v>
      </c>
      <c r="F3" s="8" t="s">
        <v>50</v>
      </c>
      <c r="G3" s="11" t="s">
        <v>188</v>
      </c>
      <c r="H3" s="8" t="s">
        <v>306</v>
      </c>
    </row>
    <row r="4" customFormat="false" ht="23.85" hidden="false" customHeight="false" outlineLevel="0" collapsed="false">
      <c r="A4" s="6" t="n">
        <v>15</v>
      </c>
      <c r="B4" s="6" t="s">
        <v>48</v>
      </c>
      <c r="C4" s="7" t="s">
        <v>65</v>
      </c>
      <c r="D4" s="8" t="s">
        <v>193</v>
      </c>
      <c r="E4" s="9" t="n">
        <v>2</v>
      </c>
      <c r="F4" s="8" t="s">
        <v>307</v>
      </c>
      <c r="G4" s="11" t="s">
        <v>188</v>
      </c>
      <c r="H4" s="8" t="s">
        <v>305</v>
      </c>
    </row>
    <row r="5" customFormat="false" ht="23.85" hidden="false" customHeight="false" outlineLevel="0" collapsed="false">
      <c r="A5" s="6" t="n">
        <v>22</v>
      </c>
      <c r="B5" s="6" t="s">
        <v>48</v>
      </c>
      <c r="C5" s="7" t="s">
        <v>69</v>
      </c>
      <c r="D5" s="8" t="s">
        <v>195</v>
      </c>
      <c r="E5" s="9" t="n">
        <v>2</v>
      </c>
      <c r="F5" s="8" t="s">
        <v>307</v>
      </c>
      <c r="G5" s="11" t="s">
        <v>196</v>
      </c>
      <c r="H5" s="8" t="s">
        <v>305</v>
      </c>
    </row>
    <row r="6" customFormat="false" ht="23.85" hidden="false" customHeight="false" outlineLevel="0" collapsed="false">
      <c r="A6" s="6" t="n">
        <v>29</v>
      </c>
      <c r="B6" s="6" t="s">
        <v>48</v>
      </c>
      <c r="C6" s="7" t="s">
        <v>73</v>
      </c>
      <c r="D6" s="8" t="s">
        <v>198</v>
      </c>
      <c r="E6" s="9" t="n">
        <v>3</v>
      </c>
      <c r="F6" s="8" t="s">
        <v>308</v>
      </c>
      <c r="G6" s="11" t="s">
        <v>188</v>
      </c>
      <c r="H6" s="8" t="s">
        <v>305</v>
      </c>
    </row>
    <row r="7" customFormat="false" ht="15" hidden="false" customHeight="false" outlineLevel="0" collapsed="false">
      <c r="A7" s="6" t="n">
        <v>40</v>
      </c>
      <c r="B7" s="6" t="s">
        <v>48</v>
      </c>
      <c r="C7" s="7" t="s">
        <v>85</v>
      </c>
      <c r="D7" s="8" t="s">
        <v>201</v>
      </c>
      <c r="E7" s="9" t="n">
        <v>1</v>
      </c>
      <c r="F7" s="8" t="s">
        <v>77</v>
      </c>
      <c r="G7" s="11" t="s">
        <v>188</v>
      </c>
      <c r="H7" s="8" t="s">
        <v>306</v>
      </c>
    </row>
    <row r="8" customFormat="false" ht="15" hidden="false" customHeight="false" outlineLevel="0" collapsed="false">
      <c r="A8" s="6" t="n">
        <v>58</v>
      </c>
      <c r="B8" s="6" t="s">
        <v>48</v>
      </c>
      <c r="C8" s="7" t="s">
        <v>168</v>
      </c>
      <c r="D8" s="8" t="s">
        <v>203</v>
      </c>
      <c r="E8" s="9" t="n">
        <v>1</v>
      </c>
      <c r="F8" s="8" t="s">
        <v>169</v>
      </c>
      <c r="G8" s="11" t="s">
        <v>204</v>
      </c>
      <c r="H8" s="8" t="s">
        <v>309</v>
      </c>
    </row>
    <row r="9" customFormat="false" ht="15" hidden="false" customHeight="false" outlineLevel="0" collapsed="false">
      <c r="A9" s="6" t="n">
        <v>83</v>
      </c>
      <c r="B9" s="6" t="s">
        <v>88</v>
      </c>
      <c r="C9" s="7" t="s">
        <v>152</v>
      </c>
      <c r="D9" s="8" t="s">
        <v>206</v>
      </c>
      <c r="E9" s="9" t="n">
        <v>1</v>
      </c>
      <c r="F9" s="8" t="s">
        <v>145</v>
      </c>
      <c r="G9" s="11" t="s">
        <v>196</v>
      </c>
      <c r="H9" s="8" t="s">
        <v>306</v>
      </c>
    </row>
    <row r="10" customFormat="false" ht="23.85" hidden="false" customHeight="false" outlineLevel="0" collapsed="false">
      <c r="A10" s="6" t="n">
        <v>95</v>
      </c>
      <c r="B10" s="6" t="s">
        <v>88</v>
      </c>
      <c r="C10" s="7" t="s">
        <v>89</v>
      </c>
      <c r="D10" s="8" t="s">
        <v>208</v>
      </c>
      <c r="E10" s="9" t="n">
        <v>2</v>
      </c>
      <c r="F10" s="8" t="s">
        <v>310</v>
      </c>
      <c r="G10" s="11" t="s">
        <v>196</v>
      </c>
      <c r="H10" s="8" t="s">
        <v>305</v>
      </c>
    </row>
    <row r="11" customFormat="false" ht="23.85" hidden="false" customHeight="false" outlineLevel="0" collapsed="false">
      <c r="A11" s="6" t="n">
        <v>96</v>
      </c>
      <c r="B11" s="6" t="s">
        <v>88</v>
      </c>
      <c r="C11" s="7" t="s">
        <v>99</v>
      </c>
      <c r="D11" s="8" t="s">
        <v>210</v>
      </c>
      <c r="E11" s="9" t="n">
        <v>3</v>
      </c>
      <c r="F11" s="8" t="s">
        <v>311</v>
      </c>
      <c r="G11" s="11" t="s">
        <v>196</v>
      </c>
      <c r="H11" s="8" t="s">
        <v>305</v>
      </c>
    </row>
    <row r="12" customFormat="false" ht="23.85" hidden="false" customHeight="false" outlineLevel="0" collapsed="false">
      <c r="A12" s="6" t="n">
        <v>102</v>
      </c>
      <c r="B12" s="6" t="s">
        <v>88</v>
      </c>
      <c r="C12" s="7" t="s">
        <v>102</v>
      </c>
      <c r="D12" s="8" t="s">
        <v>213</v>
      </c>
      <c r="E12" s="9" t="n">
        <v>2</v>
      </c>
      <c r="F12" s="8" t="s">
        <v>312</v>
      </c>
      <c r="G12" s="11" t="s">
        <v>188</v>
      </c>
      <c r="H12" s="8" t="s">
        <v>305</v>
      </c>
    </row>
    <row r="13" customFormat="false" ht="15" hidden="false" customHeight="false" outlineLevel="0" collapsed="false">
      <c r="A13" s="6" t="n">
        <v>103</v>
      </c>
      <c r="B13" s="6" t="s">
        <v>88</v>
      </c>
      <c r="C13" s="7" t="s">
        <v>160</v>
      </c>
      <c r="D13" s="8" t="s">
        <v>215</v>
      </c>
      <c r="E13" s="9" t="n">
        <v>1</v>
      </c>
      <c r="F13" s="8" t="s">
        <v>161</v>
      </c>
      <c r="G13" s="11" t="s">
        <v>196</v>
      </c>
      <c r="H13" s="8" t="s">
        <v>306</v>
      </c>
    </row>
    <row r="14" customFormat="false" ht="23.85" hidden="false" customHeight="false" outlineLevel="0" collapsed="false">
      <c r="A14" s="6" t="n">
        <v>106</v>
      </c>
      <c r="B14" s="6" t="s">
        <v>88</v>
      </c>
      <c r="C14" s="7" t="s">
        <v>116</v>
      </c>
      <c r="D14" s="8" t="s">
        <v>217</v>
      </c>
      <c r="E14" s="9" t="n">
        <v>2</v>
      </c>
      <c r="F14" s="8" t="s">
        <v>313</v>
      </c>
      <c r="G14" s="11" t="s">
        <v>196</v>
      </c>
      <c r="H14" s="8" t="s">
        <v>305</v>
      </c>
    </row>
    <row r="15" customFormat="false" ht="23.85" hidden="false" customHeight="false" outlineLevel="0" collapsed="false">
      <c r="A15" s="6" t="n">
        <v>114</v>
      </c>
      <c r="B15" s="6" t="s">
        <v>88</v>
      </c>
      <c r="C15" s="7" t="s">
        <v>123</v>
      </c>
      <c r="D15" s="8" t="s">
        <v>219</v>
      </c>
      <c r="E15" s="9" t="n">
        <v>2</v>
      </c>
      <c r="F15" s="8" t="s">
        <v>314</v>
      </c>
      <c r="G15" s="11" t="s">
        <v>196</v>
      </c>
      <c r="H15" s="8" t="s">
        <v>305</v>
      </c>
    </row>
    <row r="16" customFormat="false" ht="15" hidden="false" customHeight="false" outlineLevel="0" collapsed="false">
      <c r="A16" s="6" t="n">
        <v>124</v>
      </c>
      <c r="B16" s="6" t="s">
        <v>88</v>
      </c>
      <c r="C16" s="7" t="s">
        <v>176</v>
      </c>
      <c r="D16" s="8" t="s">
        <v>221</v>
      </c>
      <c r="E16" s="9" t="n">
        <v>1</v>
      </c>
      <c r="F16" s="8" t="s">
        <v>169</v>
      </c>
      <c r="G16" s="11" t="s">
        <v>204</v>
      </c>
      <c r="H16" s="8" t="s">
        <v>309</v>
      </c>
    </row>
    <row r="18" customFormat="false" ht="15" hidden="false" customHeight="false" outlineLevel="0" collapsed="false">
      <c r="C18" s="12" t="s">
        <v>315</v>
      </c>
      <c r="E18" s="13" t="n">
        <f aca="false">COUNTIF(E2:E16,"&gt;0")</f>
        <v>15</v>
      </c>
    </row>
    <row r="19" customFormat="false" ht="15" hidden="false" customHeight="false" outlineLevel="0" collapsed="false">
      <c r="C19" s="12" t="s">
        <v>316</v>
      </c>
      <c r="E19" s="13" t="n">
        <f aca="false">COUNTIF(E2:E16,"&gt;1")</f>
        <v>9</v>
      </c>
    </row>
    <row r="20" customFormat="false" ht="15" hidden="false" customHeight="false" outlineLevel="0" collapsed="false">
      <c r="C20" s="12" t="s">
        <v>317</v>
      </c>
      <c r="E20" s="13" t="n">
        <f aca="false">SUM(E2:E16)</f>
        <v>26</v>
      </c>
    </row>
  </sheetData>
  <conditionalFormatting sqref="G2:G16">
    <cfRule type="cellIs" priority="2" operator="equal" aboveAverage="0" equalAverage="0" bottom="0" percent="0" rank="0" text="" dxfId="6">
      <formula>"ADMITIDA"</formula>
    </cfRule>
    <cfRule type="cellIs" priority="3" operator="equal" aboveAverage="0" equalAverage="0" bottom="0" percent="0" rank="0" text="" dxfId="8">
      <formula>"ADMITIDA CON RESERVA"</formula>
    </cfRule>
    <cfRule type="cellIs" priority="4" operator="equal" aboveAverage="0" equalAverage="0" bottom="0" percent="0" rank="0" text="" dxfId="7">
      <formula>"NO ADMISIBLE"</formula>
    </cfRule>
    <cfRule type="cellIs" priority="5" operator="equal" aboveAverage="0" equalAverage="0" bottom="0" percent="0" rank="0" text="" dxfId="7">
      <formula>"SIN COBERTURA"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32"/>
    <col collapsed="false" customWidth="true" hidden="false" outlineLevel="0" max="4" min="4" style="0" width="10"/>
    <col collapsed="false" customWidth="true" hidden="false" outlineLevel="0" max="5" min="5" style="0" width="12"/>
    <col collapsed="false" customWidth="true" hidden="false" outlineLevel="0" max="6" min="6" style="0" width="13"/>
    <col collapsed="false" customWidth="true" hidden="false" outlineLevel="0" max="7" min="7" style="0" width="10"/>
    <col collapsed="false" customWidth="true" hidden="false" outlineLevel="0" max="8" min="8" style="0" width="8"/>
    <col collapsed="false" customWidth="true" hidden="false" outlineLevel="0" max="9" min="9" style="0" width="12"/>
    <col collapsed="false" customWidth="true" hidden="false" outlineLevel="0" max="10" min="10" style="0" width="11"/>
    <col collapsed="false" customWidth="true" hidden="false" outlineLevel="0" max="11" min="11" style="0" width="30"/>
    <col collapsed="false" customWidth="true" hidden="false" outlineLevel="0" max="12" min="12" style="0" width="88"/>
    <col collapsed="false" customWidth="true" hidden="false" outlineLevel="0" max="13" min="13" style="0" width="13"/>
    <col collapsed="false" customWidth="true" hidden="false" outlineLevel="0" max="14" min="14" style="0" width="20"/>
    <col collapsed="false" customWidth="true" hidden="false" outlineLevel="0" max="15" min="15" style="0" width="88"/>
  </cols>
  <sheetData>
    <row r="1" customFormat="false" ht="42" hidden="false" customHeight="true" outlineLevel="0" collapsed="false">
      <c r="A1" s="5" t="s">
        <v>28</v>
      </c>
      <c r="B1" s="5" t="s">
        <v>30</v>
      </c>
      <c r="C1" s="5" t="s">
        <v>179</v>
      </c>
      <c r="D1" s="5" t="s">
        <v>225</v>
      </c>
      <c r="E1" s="5" t="s">
        <v>318</v>
      </c>
      <c r="F1" s="5" t="s">
        <v>319</v>
      </c>
      <c r="G1" s="5" t="s">
        <v>320</v>
      </c>
      <c r="H1" s="5" t="s">
        <v>40</v>
      </c>
      <c r="I1" s="5" t="s">
        <v>321</v>
      </c>
      <c r="J1" s="5" t="s">
        <v>42</v>
      </c>
      <c r="K1" s="5" t="s">
        <v>322</v>
      </c>
      <c r="L1" s="5" t="s">
        <v>323</v>
      </c>
      <c r="M1" s="5" t="s">
        <v>324</v>
      </c>
      <c r="N1" s="5" t="s">
        <v>325</v>
      </c>
      <c r="O1" s="5" t="s">
        <v>326</v>
      </c>
    </row>
    <row r="2" customFormat="false" ht="35.05" hidden="false" customHeight="false" outlineLevel="0" collapsed="false">
      <c r="A2" s="6" t="n">
        <v>7</v>
      </c>
      <c r="B2" s="7" t="s">
        <v>49</v>
      </c>
      <c r="C2" s="8" t="s">
        <v>187</v>
      </c>
      <c r="D2" s="6" t="s">
        <v>182</v>
      </c>
      <c r="E2" s="6" t="s">
        <v>57</v>
      </c>
      <c r="F2" s="9" t="n">
        <v>17</v>
      </c>
      <c r="G2" s="9" t="n">
        <v>0</v>
      </c>
      <c r="H2" s="10" t="n">
        <f aca="false">IF(F2=0,"n/d",G2/F2)</f>
        <v>0</v>
      </c>
      <c r="I2" s="6" t="str">
        <f aca="false">IF(OR(F2="",G2=""),"",IF(G2&gt;F2,"IMPOSIBLE",IF(G2=0,"1",IF(G2/F2&lt;=0.2,"P","0"))))</f>
        <v>1</v>
      </c>
      <c r="J2" s="6" t="str">
        <f aca="false">IF(I2="IMPOSIBLE","IMPOSIBLE",IF(I2=E2,"si","NO"))</f>
        <v>si</v>
      </c>
      <c r="K2" s="7" t="s">
        <v>327</v>
      </c>
      <c r="L2" s="8" t="s">
        <v>328</v>
      </c>
      <c r="M2" s="6" t="s">
        <v>329</v>
      </c>
      <c r="N2" s="6" t="s">
        <v>330</v>
      </c>
      <c r="O2" s="8" t="s">
        <v>331</v>
      </c>
    </row>
    <row r="3" customFormat="false" ht="23.85" hidden="false" customHeight="false" outlineLevel="0" collapsed="false">
      <c r="A3" s="6" t="n">
        <v>7</v>
      </c>
      <c r="B3" s="7" t="s">
        <v>49</v>
      </c>
      <c r="C3" s="8" t="s">
        <v>187</v>
      </c>
      <c r="D3" s="6" t="s">
        <v>183</v>
      </c>
      <c r="E3" s="6" t="s">
        <v>57</v>
      </c>
      <c r="F3" s="9" t="n">
        <v>17</v>
      </c>
      <c r="G3" s="9" t="n">
        <v>0</v>
      </c>
      <c r="H3" s="10" t="n">
        <f aca="false">IF(F3=0,"n/d",G3/F3)</f>
        <v>0</v>
      </c>
      <c r="I3" s="6" t="str">
        <f aca="false">IF(OR(F3="",G3=""),"",IF(G3&gt;F3,"IMPOSIBLE",IF(G3=0,"1",IF(G3/F3&lt;=0.2,"P","0"))))</f>
        <v>1</v>
      </c>
      <c r="J3" s="6" t="str">
        <f aca="false">IF(I3="IMPOSIBLE","IMPOSIBLE",IF(I3=E3,"si","NO"))</f>
        <v>si</v>
      </c>
      <c r="K3" s="7" t="s">
        <v>332</v>
      </c>
      <c r="L3" s="8" t="s">
        <v>333</v>
      </c>
      <c r="M3" s="6" t="s">
        <v>334</v>
      </c>
      <c r="N3" s="6" t="s">
        <v>335</v>
      </c>
      <c r="O3" s="8" t="s">
        <v>336</v>
      </c>
    </row>
    <row r="4" customFormat="false" ht="35.05" hidden="false" customHeight="false" outlineLevel="0" collapsed="false">
      <c r="A4" s="6" t="n">
        <v>7</v>
      </c>
      <c r="B4" s="7" t="s">
        <v>49</v>
      </c>
      <c r="C4" s="8" t="s">
        <v>187</v>
      </c>
      <c r="D4" s="6" t="s">
        <v>184</v>
      </c>
      <c r="E4" s="6" t="s">
        <v>57</v>
      </c>
      <c r="F4" s="9" t="n">
        <v>17</v>
      </c>
      <c r="G4" s="9" t="n">
        <v>0</v>
      </c>
      <c r="H4" s="10" t="n">
        <f aca="false">IF(F4=0,"n/d",G4/F4)</f>
        <v>0</v>
      </c>
      <c r="I4" s="6" t="str">
        <f aca="false">IF(OR(F4="",G4=""),"",IF(G4&gt;F4,"IMPOSIBLE",IF(G4=0,"1",IF(G4/F4&lt;=0.2,"P","0"))))</f>
        <v>1</v>
      </c>
      <c r="J4" s="6" t="str">
        <f aca="false">IF(I4="IMPOSIBLE","IMPOSIBLE",IF(I4=E4,"si","NO"))</f>
        <v>si</v>
      </c>
      <c r="K4" s="7" t="s">
        <v>337</v>
      </c>
      <c r="L4" s="8" t="s">
        <v>338</v>
      </c>
      <c r="M4" s="6" t="s">
        <v>329</v>
      </c>
      <c r="N4" s="6" t="s">
        <v>339</v>
      </c>
      <c r="O4" s="8" t="s">
        <v>340</v>
      </c>
    </row>
    <row r="5" customFormat="false" ht="23.85" hidden="false" customHeight="false" outlineLevel="0" collapsed="false">
      <c r="A5" s="6" t="n">
        <v>14</v>
      </c>
      <c r="B5" s="7" t="s">
        <v>60</v>
      </c>
      <c r="C5" s="8" t="s">
        <v>190</v>
      </c>
      <c r="D5" s="6" t="s">
        <v>182</v>
      </c>
      <c r="E5" s="6" t="s">
        <v>56</v>
      </c>
      <c r="F5" s="9" t="n">
        <v>27</v>
      </c>
      <c r="G5" s="9" t="n">
        <v>22</v>
      </c>
      <c r="H5" s="10" t="n">
        <f aca="false">IF(F5=0,"n/d",G5/F5)</f>
        <v>0.814814814814815</v>
      </c>
      <c r="I5" s="6" t="str">
        <f aca="false">IF(OR(F5="",G5=""),"",IF(G5&gt;F5,"IMPOSIBLE",IF(G5=0,"1",IF(G5/F5&lt;=0.2,"P","0"))))</f>
        <v>0</v>
      </c>
      <c r="J5" s="6" t="str">
        <f aca="false">IF(I5="IMPOSIBLE","IMPOSIBLE",IF(I5=E5,"si","NO"))</f>
        <v>si</v>
      </c>
      <c r="K5" s="7" t="s">
        <v>341</v>
      </c>
      <c r="L5" s="8" t="s">
        <v>342</v>
      </c>
      <c r="M5" s="6" t="s">
        <v>334</v>
      </c>
      <c r="N5" s="6" t="s">
        <v>343</v>
      </c>
      <c r="O5" s="8" t="s">
        <v>344</v>
      </c>
    </row>
    <row r="6" customFormat="false" ht="15" hidden="false" customHeight="false" outlineLevel="0" collapsed="false">
      <c r="A6" s="6" t="n">
        <v>14</v>
      </c>
      <c r="B6" s="7" t="s">
        <v>60</v>
      </c>
      <c r="C6" s="8" t="s">
        <v>190</v>
      </c>
      <c r="D6" s="6" t="s">
        <v>183</v>
      </c>
      <c r="E6" s="6" t="s">
        <v>57</v>
      </c>
      <c r="F6" s="9" t="n">
        <v>27</v>
      </c>
      <c r="G6" s="9" t="n">
        <v>22</v>
      </c>
      <c r="H6" s="10" t="n">
        <f aca="false">IF(F6=0,"n/d",G6/F6)</f>
        <v>0.814814814814815</v>
      </c>
      <c r="I6" s="6" t="str">
        <f aca="false">IF(OR(F6="",G6=""),"",IF(G6&gt;F6,"IMPOSIBLE",IF(G6=0,"1",IF(G6/F6&lt;=0.2,"P","0"))))</f>
        <v>0</v>
      </c>
      <c r="J6" s="6" t="str">
        <f aca="false">IF(I6="IMPOSIBLE","IMPOSIBLE",IF(I6=E6,"si","NO"))</f>
        <v>NO</v>
      </c>
      <c r="K6" s="7" t="s">
        <v>345</v>
      </c>
      <c r="L6" s="8" t="s">
        <v>346</v>
      </c>
      <c r="M6" s="6" t="s">
        <v>334</v>
      </c>
      <c r="N6" s="6" t="s">
        <v>347</v>
      </c>
      <c r="O6" s="8" t="s">
        <v>348</v>
      </c>
    </row>
    <row r="7" customFormat="false" ht="15" hidden="false" customHeight="false" outlineLevel="0" collapsed="false">
      <c r="A7" s="6" t="n">
        <v>14</v>
      </c>
      <c r="B7" s="7" t="s">
        <v>60</v>
      </c>
      <c r="C7" s="8" t="s">
        <v>190</v>
      </c>
      <c r="D7" s="6" t="s">
        <v>184</v>
      </c>
      <c r="E7" s="6" t="s">
        <v>57</v>
      </c>
      <c r="F7" s="9" t="n">
        <v>27</v>
      </c>
      <c r="G7" s="9" t="n">
        <v>22</v>
      </c>
      <c r="H7" s="10" t="n">
        <f aca="false">IF(F7=0,"n/d",G7/F7)</f>
        <v>0.814814814814815</v>
      </c>
      <c r="I7" s="6" t="str">
        <f aca="false">IF(OR(F7="",G7=""),"",IF(G7&gt;F7,"IMPOSIBLE",IF(G7=0,"1",IF(G7/F7&lt;=0.2,"P","0"))))</f>
        <v>0</v>
      </c>
      <c r="J7" s="6" t="str">
        <f aca="false">IF(I7="IMPOSIBLE","IMPOSIBLE",IF(I7=E7,"si","NO"))</f>
        <v>NO</v>
      </c>
      <c r="K7" s="7" t="s">
        <v>349</v>
      </c>
      <c r="L7" s="8" t="s">
        <v>350</v>
      </c>
      <c r="M7" s="6" t="s">
        <v>334</v>
      </c>
      <c r="N7" s="6" t="s">
        <v>351</v>
      </c>
      <c r="O7" s="8" t="s">
        <v>352</v>
      </c>
    </row>
    <row r="8" customFormat="false" ht="23.85" hidden="false" customHeight="false" outlineLevel="0" collapsed="false">
      <c r="A8" s="6" t="n">
        <v>83</v>
      </c>
      <c r="B8" s="7" t="s">
        <v>152</v>
      </c>
      <c r="C8" s="8" t="s">
        <v>206</v>
      </c>
      <c r="D8" s="6" t="s">
        <v>182</v>
      </c>
      <c r="E8" s="6" t="s">
        <v>56</v>
      </c>
      <c r="F8" s="9" t="n">
        <v>20</v>
      </c>
      <c r="G8" s="9" t="n">
        <v>11</v>
      </c>
      <c r="H8" s="10" t="n">
        <f aca="false">IF(F8=0,"n/d",G8/F8)</f>
        <v>0.55</v>
      </c>
      <c r="I8" s="6" t="str">
        <f aca="false">IF(OR(F8="",G8=""),"",IF(G8&gt;F8,"IMPOSIBLE",IF(G8=0,"1",IF(G8/F8&lt;=0.2,"P","0"))))</f>
        <v>0</v>
      </c>
      <c r="J8" s="6" t="str">
        <f aca="false">IF(I8="IMPOSIBLE","IMPOSIBLE",IF(I8=E8,"si","NO"))</f>
        <v>si</v>
      </c>
      <c r="K8" s="7" t="s">
        <v>353</v>
      </c>
      <c r="L8" s="8" t="s">
        <v>354</v>
      </c>
      <c r="M8" s="6" t="s">
        <v>355</v>
      </c>
      <c r="N8" s="6" t="s">
        <v>356</v>
      </c>
      <c r="O8" s="8" t="s">
        <v>357</v>
      </c>
    </row>
    <row r="9" customFormat="false" ht="15" hidden="false" customHeight="false" outlineLevel="0" collapsed="false">
      <c r="A9" s="6" t="n">
        <v>83</v>
      </c>
      <c r="B9" s="7" t="s">
        <v>152</v>
      </c>
      <c r="C9" s="8" t="s">
        <v>206</v>
      </c>
      <c r="D9" s="6" t="s">
        <v>183</v>
      </c>
      <c r="E9" s="6" t="s">
        <v>63</v>
      </c>
      <c r="F9" s="9" t="n">
        <v>20</v>
      </c>
      <c r="G9" s="9" t="n">
        <v>11</v>
      </c>
      <c r="H9" s="10" t="n">
        <f aca="false">IF(F9=0,"n/d",G9/F9)</f>
        <v>0.55</v>
      </c>
      <c r="I9" s="6" t="str">
        <f aca="false">IF(OR(F9="",G9=""),"",IF(G9&gt;F9,"IMPOSIBLE",IF(G9=0,"1",IF(G9/F9&lt;=0.2,"P","0"))))</f>
        <v>0</v>
      </c>
      <c r="J9" s="6" t="str">
        <f aca="false">IF(I9="IMPOSIBLE","IMPOSIBLE",IF(I9=E9,"si","NO"))</f>
        <v>NO</v>
      </c>
      <c r="K9" s="7" t="s">
        <v>358</v>
      </c>
      <c r="L9" s="8" t="s">
        <v>359</v>
      </c>
      <c r="M9" s="6" t="s">
        <v>334</v>
      </c>
      <c r="N9" s="6" t="s">
        <v>360</v>
      </c>
      <c r="O9" s="8" t="s">
        <v>361</v>
      </c>
    </row>
    <row r="10" customFormat="false" ht="15" hidden="false" customHeight="false" outlineLevel="0" collapsed="false">
      <c r="A10" s="6" t="n">
        <v>83</v>
      </c>
      <c r="B10" s="7" t="s">
        <v>152</v>
      </c>
      <c r="C10" s="8" t="s">
        <v>206</v>
      </c>
      <c r="D10" s="6" t="s">
        <v>184</v>
      </c>
      <c r="E10" s="6" t="s">
        <v>56</v>
      </c>
      <c r="F10" s="9" t="n">
        <v>20</v>
      </c>
      <c r="G10" s="9" t="n">
        <v>11</v>
      </c>
      <c r="H10" s="10" t="n">
        <f aca="false">IF(F10=0,"n/d",G10/F10)</f>
        <v>0.55</v>
      </c>
      <c r="I10" s="6" t="str">
        <f aca="false">IF(OR(F10="",G10=""),"",IF(G10&gt;F10,"IMPOSIBLE",IF(G10=0,"1",IF(G10/F10&lt;=0.2,"P","0"))))</f>
        <v>0</v>
      </c>
      <c r="J10" s="6" t="str">
        <f aca="false">IF(I10="IMPOSIBLE","IMPOSIBLE",IF(I10=E10,"si","NO"))</f>
        <v>si</v>
      </c>
      <c r="K10" s="7" t="s">
        <v>362</v>
      </c>
      <c r="L10" s="8" t="s">
        <v>363</v>
      </c>
      <c r="M10" s="6" t="s">
        <v>334</v>
      </c>
      <c r="N10" s="6" t="s">
        <v>364</v>
      </c>
      <c r="O10" s="8" t="s">
        <v>365</v>
      </c>
    </row>
    <row r="11" customFormat="false" ht="15" hidden="false" customHeight="false" outlineLevel="0" collapsed="false">
      <c r="A11" s="6" t="n">
        <v>95</v>
      </c>
      <c r="B11" s="7" t="s">
        <v>89</v>
      </c>
      <c r="C11" s="8" t="s">
        <v>208</v>
      </c>
      <c r="D11" s="6" t="s">
        <v>182</v>
      </c>
      <c r="E11" s="6" t="s">
        <v>56</v>
      </c>
      <c r="F11" s="9" t="n">
        <v>10</v>
      </c>
      <c r="G11" s="9" t="n">
        <v>8</v>
      </c>
      <c r="H11" s="10" t="n">
        <f aca="false">IF(F11=0,"n/d",G11/F11)</f>
        <v>0.8</v>
      </c>
      <c r="I11" s="6" t="str">
        <f aca="false">IF(OR(F11="",G11=""),"",IF(G11&gt;F11,"IMPOSIBLE",IF(G11=0,"1",IF(G11/F11&lt;=0.2,"P","0"))))</f>
        <v>0</v>
      </c>
      <c r="J11" s="6" t="str">
        <f aca="false">IF(I11="IMPOSIBLE","IMPOSIBLE",IF(I11=E11,"si","NO"))</f>
        <v>si</v>
      </c>
      <c r="K11" s="7" t="s">
        <v>366</v>
      </c>
      <c r="L11" s="8" t="s">
        <v>367</v>
      </c>
      <c r="M11" s="6" t="s">
        <v>334</v>
      </c>
      <c r="N11" s="6" t="s">
        <v>368</v>
      </c>
      <c r="O11" s="8" t="s">
        <v>369</v>
      </c>
    </row>
    <row r="12" customFormat="false" ht="15" hidden="false" customHeight="false" outlineLevel="0" collapsed="false">
      <c r="A12" s="6" t="n">
        <v>95</v>
      </c>
      <c r="B12" s="7" t="s">
        <v>89</v>
      </c>
      <c r="C12" s="8" t="s">
        <v>208</v>
      </c>
      <c r="D12" s="6" t="s">
        <v>183</v>
      </c>
      <c r="E12" s="6" t="s">
        <v>57</v>
      </c>
      <c r="F12" s="9" t="n">
        <v>10</v>
      </c>
      <c r="G12" s="9" t="n">
        <v>8</v>
      </c>
      <c r="H12" s="10" t="n">
        <f aca="false">IF(F12=0,"n/d",G12/F12)</f>
        <v>0.8</v>
      </c>
      <c r="I12" s="6" t="str">
        <f aca="false">IF(OR(F12="",G12=""),"",IF(G12&gt;F12,"IMPOSIBLE",IF(G12=0,"1",IF(G12/F12&lt;=0.2,"P","0"))))</f>
        <v>0</v>
      </c>
      <c r="J12" s="6" t="str">
        <f aca="false">IF(I12="IMPOSIBLE","IMPOSIBLE",IF(I12=E12,"si","NO"))</f>
        <v>NO</v>
      </c>
      <c r="K12" s="7" t="s">
        <v>370</v>
      </c>
      <c r="L12" s="8" t="s">
        <v>371</v>
      </c>
      <c r="M12" s="6" t="s">
        <v>334</v>
      </c>
      <c r="N12" s="6" t="s">
        <v>372</v>
      </c>
      <c r="O12" s="8" t="s">
        <v>361</v>
      </c>
    </row>
    <row r="13" customFormat="false" ht="15" hidden="false" customHeight="false" outlineLevel="0" collapsed="false">
      <c r="A13" s="6" t="n">
        <v>95</v>
      </c>
      <c r="B13" s="7" t="s">
        <v>89</v>
      </c>
      <c r="C13" s="8" t="s">
        <v>208</v>
      </c>
      <c r="D13" s="6" t="s">
        <v>184</v>
      </c>
      <c r="E13" s="6" t="s">
        <v>57</v>
      </c>
      <c r="F13" s="9" t="n">
        <v>10</v>
      </c>
      <c r="G13" s="9" t="n">
        <v>8</v>
      </c>
      <c r="H13" s="10" t="n">
        <f aca="false">IF(F13=0,"n/d",G13/F13)</f>
        <v>0.8</v>
      </c>
      <c r="I13" s="6" t="str">
        <f aca="false">IF(OR(F13="",G13=""),"",IF(G13&gt;F13,"IMPOSIBLE",IF(G13=0,"1",IF(G13/F13&lt;=0.2,"P","0"))))</f>
        <v>0</v>
      </c>
      <c r="J13" s="6" t="str">
        <f aca="false">IF(I13="IMPOSIBLE","IMPOSIBLE",IF(I13=E13,"si","NO"))</f>
        <v>NO</v>
      </c>
      <c r="K13" s="7" t="s">
        <v>373</v>
      </c>
      <c r="L13" s="8" t="s">
        <v>374</v>
      </c>
      <c r="M13" s="6" t="s">
        <v>334</v>
      </c>
      <c r="N13" s="6" t="s">
        <v>375</v>
      </c>
      <c r="O13" s="8" t="s">
        <v>376</v>
      </c>
    </row>
    <row r="14" customFormat="false" ht="23.85" hidden="false" customHeight="false" outlineLevel="0" collapsed="false">
      <c r="A14" s="6" t="n">
        <v>96</v>
      </c>
      <c r="B14" s="7" t="s">
        <v>99</v>
      </c>
      <c r="C14" s="8" t="s">
        <v>210</v>
      </c>
      <c r="D14" s="6" t="s">
        <v>182</v>
      </c>
      <c r="E14" s="6" t="s">
        <v>56</v>
      </c>
      <c r="F14" s="9" t="n">
        <v>15</v>
      </c>
      <c r="G14" s="9" t="n">
        <v>7</v>
      </c>
      <c r="H14" s="10" t="n">
        <f aca="false">IF(F14=0,"n/d",G14/F14)</f>
        <v>0.466666666666667</v>
      </c>
      <c r="I14" s="6" t="str">
        <f aca="false">IF(OR(F14="",G14=""),"",IF(G14&gt;F14,"IMPOSIBLE",IF(G14=0,"1",IF(G14/F14&lt;=0.2,"P","0"))))</f>
        <v>0</v>
      </c>
      <c r="J14" s="6" t="str">
        <f aca="false">IF(I14="IMPOSIBLE","IMPOSIBLE",IF(I14=E14,"si","NO"))</f>
        <v>si</v>
      </c>
      <c r="K14" s="7" t="s">
        <v>377</v>
      </c>
      <c r="L14" s="8" t="s">
        <v>378</v>
      </c>
      <c r="M14" s="6" t="s">
        <v>329</v>
      </c>
      <c r="N14" s="6" t="s">
        <v>379</v>
      </c>
      <c r="O14" s="8" t="s">
        <v>380</v>
      </c>
    </row>
    <row r="15" customFormat="false" ht="15" hidden="false" customHeight="false" outlineLevel="0" collapsed="false">
      <c r="A15" s="6" t="n">
        <v>96</v>
      </c>
      <c r="B15" s="7" t="s">
        <v>99</v>
      </c>
      <c r="C15" s="8" t="s">
        <v>210</v>
      </c>
      <c r="D15" s="6" t="s">
        <v>183</v>
      </c>
      <c r="E15" s="6" t="s">
        <v>57</v>
      </c>
      <c r="F15" s="9" t="n">
        <v>15</v>
      </c>
      <c r="G15" s="9" t="n">
        <v>7</v>
      </c>
      <c r="H15" s="10" t="n">
        <f aca="false">IF(F15=0,"n/d",G15/F15)</f>
        <v>0.466666666666667</v>
      </c>
      <c r="I15" s="6" t="str">
        <f aca="false">IF(OR(F15="",G15=""),"",IF(G15&gt;F15,"IMPOSIBLE",IF(G15=0,"1",IF(G15/F15&lt;=0.2,"P","0"))))</f>
        <v>0</v>
      </c>
      <c r="J15" s="6" t="str">
        <f aca="false">IF(I15="IMPOSIBLE","IMPOSIBLE",IF(I15=E15,"si","NO"))</f>
        <v>NO</v>
      </c>
      <c r="K15" s="7" t="s">
        <v>381</v>
      </c>
      <c r="L15" s="8" t="s">
        <v>382</v>
      </c>
      <c r="M15" s="6" t="s">
        <v>334</v>
      </c>
      <c r="N15" s="6" t="s">
        <v>383</v>
      </c>
      <c r="O15" s="8" t="s">
        <v>384</v>
      </c>
    </row>
    <row r="16" customFormat="false" ht="35.05" hidden="false" customHeight="false" outlineLevel="0" collapsed="false">
      <c r="A16" s="6" t="n">
        <v>96</v>
      </c>
      <c r="B16" s="7" t="s">
        <v>99</v>
      </c>
      <c r="C16" s="8" t="s">
        <v>210</v>
      </c>
      <c r="D16" s="6" t="s">
        <v>184</v>
      </c>
      <c r="E16" s="6" t="s">
        <v>57</v>
      </c>
      <c r="F16" s="9" t="n">
        <v>15</v>
      </c>
      <c r="G16" s="9" t="n">
        <v>7</v>
      </c>
      <c r="H16" s="10" t="n">
        <f aca="false">IF(F16=0,"n/d",G16/F16)</f>
        <v>0.466666666666667</v>
      </c>
      <c r="I16" s="6" t="str">
        <f aca="false">IF(OR(F16="",G16=""),"",IF(G16&gt;F16,"IMPOSIBLE",IF(G16=0,"1",IF(G16/F16&lt;=0.2,"P","0"))))</f>
        <v>0</v>
      </c>
      <c r="J16" s="6" t="str">
        <f aca="false">IF(I16="IMPOSIBLE","IMPOSIBLE",IF(I16=E16,"si","NO"))</f>
        <v>NO</v>
      </c>
      <c r="K16" s="7" t="s">
        <v>385</v>
      </c>
      <c r="L16" s="8" t="s">
        <v>386</v>
      </c>
      <c r="M16" s="6" t="s">
        <v>329</v>
      </c>
      <c r="N16" s="6" t="s">
        <v>387</v>
      </c>
      <c r="O16" s="8" t="s">
        <v>388</v>
      </c>
    </row>
    <row r="18" customFormat="false" ht="15" hidden="false" customHeight="false" outlineLevel="0" collapsed="false">
      <c r="B18" s="12" t="s">
        <v>389</v>
      </c>
      <c r="J18" s="13" t="str">
        <f aca="false">COUNTIF(J2:J16,"si")&amp;" de "&amp;15</f>
        <v>8 de 15</v>
      </c>
    </row>
    <row r="19" customFormat="false" ht="15" hidden="false" customHeight="false" outlineLevel="0" collapsed="false">
      <c r="B19" s="12" t="s">
        <v>390</v>
      </c>
      <c r="M19" s="13" t="str">
        <f aca="false">COUNTIF(M2:M16,"SI")&amp;" de "&amp;15</f>
        <v>4 de 15</v>
      </c>
    </row>
    <row r="20" customFormat="false" ht="15" hidden="false" customHeight="false" outlineLevel="0" collapsed="false">
      <c r="B20" s="12" t="s">
        <v>391</v>
      </c>
      <c r="M20" s="13" t="str">
        <f aca="false">0&amp;" de "&amp;5</f>
        <v>0 de 5</v>
      </c>
    </row>
  </sheetData>
  <conditionalFormatting sqref="J2:J16">
    <cfRule type="cellIs" priority="2" operator="equal" aboveAverage="0" equalAverage="0" bottom="0" percent="0" rank="0" text="" dxfId="6">
      <formula>"si"</formula>
    </cfRule>
    <cfRule type="cellIs" priority="3" operator="equal" aboveAverage="0" equalAverage="0" bottom="0" percent="0" rank="0" text="" dxfId="7">
      <formula>"NO"</formula>
    </cfRule>
  </conditionalFormatting>
  <conditionalFormatting sqref="M2:M16">
    <cfRule type="cellIs" priority="4" operator="equal" aboveAverage="0" equalAverage="0" bottom="0" percent="0" rank="0" text="" dxfId="6">
      <formula>"SI"</formula>
    </cfRule>
    <cfRule type="cellIs" priority="5" operator="equal" aboveAverage="0" equalAverage="0" bottom="0" percent="0" rank="0" text="" dxfId="7">
      <formula>"NO"</formula>
    </cfRule>
    <cfRule type="cellIs" priority="6" operator="equal" aboveAverage="0" equalAverage="0" bottom="0" percent="0" rank="0" text="" dxfId="8">
      <formula>"PARCIAL"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10"/>
    <col collapsed="false" customWidth="true" hidden="false" outlineLevel="0" max="4" min="4" style="0" width="22"/>
    <col collapsed="false" customWidth="true" hidden="false" outlineLevel="0" max="5" min="5" style="0" width="11"/>
    <col collapsed="false" customWidth="true" hidden="false" outlineLevel="0" max="6" min="6" style="0" width="22"/>
    <col collapsed="false" customWidth="true" hidden="false" outlineLevel="0" max="8" min="7" style="0" width="11"/>
  </cols>
  <sheetData>
    <row r="1" customFormat="false" ht="42" hidden="false" customHeight="true" outlineLevel="0" collapsed="false">
      <c r="A1" s="5" t="s">
        <v>28</v>
      </c>
      <c r="B1" s="5" t="s">
        <v>30</v>
      </c>
      <c r="C1" s="5" t="s">
        <v>225</v>
      </c>
      <c r="D1" s="5" t="s">
        <v>392</v>
      </c>
      <c r="E1" s="5" t="s">
        <v>393</v>
      </c>
      <c r="F1" s="5" t="s">
        <v>394</v>
      </c>
      <c r="G1" s="5" t="s">
        <v>395</v>
      </c>
      <c r="H1" s="5" t="s">
        <v>396</v>
      </c>
    </row>
    <row r="2" customFormat="false" ht="15" hidden="false" customHeight="false" outlineLevel="0" collapsed="false">
      <c r="A2" s="6" t="n">
        <v>7</v>
      </c>
      <c r="B2" s="7" t="s">
        <v>49</v>
      </c>
      <c r="C2" s="6" t="s">
        <v>182</v>
      </c>
      <c r="D2" s="7" t="s">
        <v>51</v>
      </c>
      <c r="E2" s="6" t="s">
        <v>56</v>
      </c>
      <c r="F2" s="7" t="s">
        <v>397</v>
      </c>
      <c r="G2" s="6" t="s">
        <v>57</v>
      </c>
      <c r="H2" s="6" t="n">
        <f aca="false">IF(E2=G2,1,0)</f>
        <v>0</v>
      </c>
    </row>
    <row r="3" customFormat="false" ht="15" hidden="false" customHeight="false" outlineLevel="0" collapsed="false">
      <c r="A3" s="6" t="n">
        <v>7</v>
      </c>
      <c r="B3" s="7" t="s">
        <v>49</v>
      </c>
      <c r="C3" s="6" t="s">
        <v>183</v>
      </c>
      <c r="D3" s="7" t="s">
        <v>51</v>
      </c>
      <c r="E3" s="6" t="s">
        <v>57</v>
      </c>
      <c r="F3" s="7" t="s">
        <v>397</v>
      </c>
      <c r="G3" s="6" t="s">
        <v>57</v>
      </c>
      <c r="H3" s="6" t="n">
        <f aca="false">IF(E3=G3,1,0)</f>
        <v>1</v>
      </c>
    </row>
    <row r="4" customFormat="false" ht="15" hidden="false" customHeight="false" outlineLevel="0" collapsed="false">
      <c r="A4" s="6" t="n">
        <v>7</v>
      </c>
      <c r="B4" s="7" t="s">
        <v>49</v>
      </c>
      <c r="C4" s="6" t="s">
        <v>184</v>
      </c>
      <c r="D4" s="7" t="s">
        <v>51</v>
      </c>
      <c r="E4" s="6" t="s">
        <v>57</v>
      </c>
      <c r="F4" s="7" t="s">
        <v>397</v>
      </c>
      <c r="G4" s="6" t="s">
        <v>57</v>
      </c>
      <c r="H4" s="6" t="n">
        <f aca="false">IF(E4=G4,1,0)</f>
        <v>1</v>
      </c>
    </row>
    <row r="5" customFormat="false" ht="15" hidden="false" customHeight="false" outlineLevel="0" collapsed="false">
      <c r="A5" s="6" t="n">
        <v>14</v>
      </c>
      <c r="B5" s="7" t="s">
        <v>60</v>
      </c>
      <c r="C5" s="6" t="s">
        <v>182</v>
      </c>
      <c r="D5" s="7" t="s">
        <v>51</v>
      </c>
      <c r="E5" s="6" t="s">
        <v>57</v>
      </c>
      <c r="F5" s="7" t="s">
        <v>397</v>
      </c>
      <c r="G5" s="6" t="s">
        <v>56</v>
      </c>
      <c r="H5" s="6" t="n">
        <f aca="false">IF(E5=G5,1,0)</f>
        <v>0</v>
      </c>
    </row>
    <row r="6" customFormat="false" ht="15" hidden="false" customHeight="false" outlineLevel="0" collapsed="false">
      <c r="A6" s="6" t="n">
        <v>14</v>
      </c>
      <c r="B6" s="7" t="s">
        <v>60</v>
      </c>
      <c r="C6" s="6" t="s">
        <v>183</v>
      </c>
      <c r="D6" s="7" t="s">
        <v>51</v>
      </c>
      <c r="E6" s="6" t="s">
        <v>57</v>
      </c>
      <c r="F6" s="7" t="s">
        <v>397</v>
      </c>
      <c r="G6" s="6" t="s">
        <v>57</v>
      </c>
      <c r="H6" s="6" t="n">
        <f aca="false">IF(E6=G6,1,0)</f>
        <v>1</v>
      </c>
    </row>
    <row r="7" customFormat="false" ht="15" hidden="false" customHeight="false" outlineLevel="0" collapsed="false">
      <c r="A7" s="6" t="n">
        <v>14</v>
      </c>
      <c r="B7" s="7" t="s">
        <v>60</v>
      </c>
      <c r="C7" s="6" t="s">
        <v>184</v>
      </c>
      <c r="D7" s="7" t="s">
        <v>51</v>
      </c>
      <c r="E7" s="6" t="s">
        <v>63</v>
      </c>
      <c r="F7" s="7" t="s">
        <v>397</v>
      </c>
      <c r="G7" s="6" t="s">
        <v>57</v>
      </c>
      <c r="H7" s="6" t="n">
        <f aca="false">IF(E7=G7,1,0)</f>
        <v>0</v>
      </c>
    </row>
    <row r="8" customFormat="false" ht="15" hidden="false" customHeight="false" outlineLevel="0" collapsed="false">
      <c r="A8" s="6" t="n">
        <v>83</v>
      </c>
      <c r="B8" s="7" t="s">
        <v>152</v>
      </c>
      <c r="C8" s="6" t="s">
        <v>182</v>
      </c>
      <c r="D8" s="7" t="s">
        <v>146</v>
      </c>
      <c r="E8" s="6" t="s">
        <v>56</v>
      </c>
      <c r="F8" s="7" t="s">
        <v>397</v>
      </c>
      <c r="G8" s="6" t="s">
        <v>56</v>
      </c>
      <c r="H8" s="6" t="n">
        <f aca="false">IF(E8=G8,1,0)</f>
        <v>1</v>
      </c>
    </row>
    <row r="9" customFormat="false" ht="15" hidden="false" customHeight="false" outlineLevel="0" collapsed="false">
      <c r="A9" s="6" t="n">
        <v>83</v>
      </c>
      <c r="B9" s="7" t="s">
        <v>152</v>
      </c>
      <c r="C9" s="6" t="s">
        <v>183</v>
      </c>
      <c r="D9" s="7" t="s">
        <v>146</v>
      </c>
      <c r="E9" s="6" t="s">
        <v>63</v>
      </c>
      <c r="F9" s="7" t="s">
        <v>397</v>
      </c>
      <c r="G9" s="6" t="s">
        <v>63</v>
      </c>
      <c r="H9" s="6" t="n">
        <f aca="false">IF(E9=G9,1,0)</f>
        <v>1</v>
      </c>
    </row>
    <row r="10" customFormat="false" ht="15" hidden="false" customHeight="false" outlineLevel="0" collapsed="false">
      <c r="A10" s="6" t="n">
        <v>83</v>
      </c>
      <c r="B10" s="7" t="s">
        <v>152</v>
      </c>
      <c r="C10" s="6" t="s">
        <v>184</v>
      </c>
      <c r="D10" s="7" t="s">
        <v>146</v>
      </c>
      <c r="E10" s="6" t="s">
        <v>56</v>
      </c>
      <c r="F10" s="7" t="s">
        <v>397</v>
      </c>
      <c r="G10" s="6" t="s">
        <v>56</v>
      </c>
      <c r="H10" s="6" t="n">
        <f aca="false">IF(E10=G10,1,0)</f>
        <v>1</v>
      </c>
    </row>
    <row r="11" customFormat="false" ht="15" hidden="false" customHeight="false" outlineLevel="0" collapsed="false">
      <c r="A11" s="6" t="n">
        <v>95</v>
      </c>
      <c r="B11" s="7" t="s">
        <v>89</v>
      </c>
      <c r="C11" s="6" t="s">
        <v>182</v>
      </c>
      <c r="D11" s="7" t="s">
        <v>78</v>
      </c>
      <c r="E11" s="6" t="s">
        <v>56</v>
      </c>
      <c r="F11" s="7" t="s">
        <v>397</v>
      </c>
      <c r="G11" s="6" t="s">
        <v>56</v>
      </c>
      <c r="H11" s="6" t="n">
        <f aca="false">IF(E11=G11,1,0)</f>
        <v>1</v>
      </c>
    </row>
    <row r="12" customFormat="false" ht="15" hidden="false" customHeight="false" outlineLevel="0" collapsed="false">
      <c r="A12" s="6" t="n">
        <v>95</v>
      </c>
      <c r="B12" s="7" t="s">
        <v>89</v>
      </c>
      <c r="C12" s="6" t="s">
        <v>183</v>
      </c>
      <c r="D12" s="7" t="s">
        <v>78</v>
      </c>
      <c r="E12" s="6" t="s">
        <v>57</v>
      </c>
      <c r="F12" s="7" t="s">
        <v>397</v>
      </c>
      <c r="G12" s="6" t="s">
        <v>57</v>
      </c>
      <c r="H12" s="6" t="n">
        <f aca="false">IF(E12=G12,1,0)</f>
        <v>1</v>
      </c>
    </row>
    <row r="13" customFormat="false" ht="15" hidden="false" customHeight="false" outlineLevel="0" collapsed="false">
      <c r="A13" s="6" t="n">
        <v>95</v>
      </c>
      <c r="B13" s="7" t="s">
        <v>89</v>
      </c>
      <c r="C13" s="6" t="s">
        <v>184</v>
      </c>
      <c r="D13" s="7" t="s">
        <v>78</v>
      </c>
      <c r="E13" s="6" t="s">
        <v>57</v>
      </c>
      <c r="F13" s="7" t="s">
        <v>397</v>
      </c>
      <c r="G13" s="6" t="s">
        <v>57</v>
      </c>
      <c r="H13" s="6" t="n">
        <f aca="false">IF(E13=G13,1,0)</f>
        <v>1</v>
      </c>
    </row>
    <row r="14" customFormat="false" ht="15" hidden="false" customHeight="false" outlineLevel="0" collapsed="false">
      <c r="A14" s="6" t="n">
        <v>96</v>
      </c>
      <c r="B14" s="7" t="s">
        <v>99</v>
      </c>
      <c r="C14" s="6" t="s">
        <v>182</v>
      </c>
      <c r="D14" s="7" t="s">
        <v>94</v>
      </c>
      <c r="E14" s="6" t="s">
        <v>56</v>
      </c>
      <c r="F14" s="7" t="s">
        <v>397</v>
      </c>
      <c r="G14" s="6" t="s">
        <v>56</v>
      </c>
      <c r="H14" s="6" t="n">
        <f aca="false">IF(E14=G14,1,0)</f>
        <v>1</v>
      </c>
    </row>
    <row r="15" customFormat="false" ht="15" hidden="false" customHeight="false" outlineLevel="0" collapsed="false">
      <c r="A15" s="6" t="n">
        <v>96</v>
      </c>
      <c r="B15" s="7" t="s">
        <v>99</v>
      </c>
      <c r="C15" s="6" t="s">
        <v>183</v>
      </c>
      <c r="D15" s="7" t="s">
        <v>94</v>
      </c>
      <c r="E15" s="6" t="s">
        <v>56</v>
      </c>
      <c r="F15" s="7" t="s">
        <v>397</v>
      </c>
      <c r="G15" s="6" t="s">
        <v>57</v>
      </c>
      <c r="H15" s="6" t="n">
        <f aca="false">IF(E15=G15,1,0)</f>
        <v>0</v>
      </c>
    </row>
    <row r="16" customFormat="false" ht="15" hidden="false" customHeight="false" outlineLevel="0" collapsed="false">
      <c r="A16" s="6" t="n">
        <v>96</v>
      </c>
      <c r="B16" s="7" t="s">
        <v>99</v>
      </c>
      <c r="C16" s="6" t="s">
        <v>184</v>
      </c>
      <c r="D16" s="7" t="s">
        <v>94</v>
      </c>
      <c r="E16" s="6" t="s">
        <v>63</v>
      </c>
      <c r="F16" s="7" t="s">
        <v>397</v>
      </c>
      <c r="G16" s="6" t="s">
        <v>57</v>
      </c>
      <c r="H16" s="6" t="n">
        <f aca="false">IF(E16=G16,1,0)</f>
        <v>0</v>
      </c>
    </row>
    <row r="18" customFormat="false" ht="15" hidden="false" customHeight="false" outlineLevel="0" collapsed="false">
      <c r="A18" s="15" t="s">
        <v>398</v>
      </c>
      <c r="B18" s="16" t="n">
        <f aca="false">COUNT(H2:H16)</f>
        <v>15</v>
      </c>
    </row>
    <row r="19" customFormat="false" ht="15" hidden="false" customHeight="false" outlineLevel="0" collapsed="false">
      <c r="A19" s="15" t="s">
        <v>399</v>
      </c>
      <c r="B19" s="16" t="n">
        <f aca="false">SUM(H2:H16)</f>
        <v>10</v>
      </c>
    </row>
    <row r="20" customFormat="false" ht="15" hidden="false" customHeight="false" outlineLevel="0" collapsed="false">
      <c r="A20" s="12" t="s">
        <v>400</v>
      </c>
      <c r="B20" s="17" t="n">
        <f aca="false">SUM(H2:H16)/COUNT(H2:H16)</f>
        <v>0.666666666666667</v>
      </c>
    </row>
    <row r="21" customFormat="false" ht="15" hidden="false" customHeight="false" outlineLevel="0" collapsed="false">
      <c r="A21" s="15" t="s">
        <v>401</v>
      </c>
      <c r="B21" s="16" t="n">
        <f aca="false">COUNTIF(E2:E16,"0")</f>
        <v>6</v>
      </c>
    </row>
    <row r="22" customFormat="false" ht="15" hidden="false" customHeight="false" outlineLevel="0" collapsed="false">
      <c r="A22" s="15" t="s">
        <v>402</v>
      </c>
      <c r="B22" s="16" t="n">
        <f aca="false">COUNTIF(E2:E16,"P")</f>
        <v>3</v>
      </c>
    </row>
    <row r="23" customFormat="false" ht="15" hidden="false" customHeight="false" outlineLevel="0" collapsed="false">
      <c r="A23" s="15" t="s">
        <v>403</v>
      </c>
      <c r="B23" s="16" t="n">
        <f aca="false">COUNTIF(E2:E16,"1")</f>
        <v>6</v>
      </c>
    </row>
    <row r="24" customFormat="false" ht="15" hidden="false" customHeight="false" outlineLevel="0" collapsed="false">
      <c r="A24" s="15" t="s">
        <v>404</v>
      </c>
      <c r="B24" s="16" t="n">
        <f aca="false">COUNTIF(G2:G16,"0")</f>
        <v>5</v>
      </c>
    </row>
    <row r="25" customFormat="false" ht="15" hidden="false" customHeight="false" outlineLevel="0" collapsed="false">
      <c r="A25" s="15" t="s">
        <v>405</v>
      </c>
      <c r="B25" s="16" t="n">
        <f aca="false">COUNTIF(G2:G16,"P")</f>
        <v>1</v>
      </c>
    </row>
    <row r="26" customFormat="false" ht="15" hidden="false" customHeight="false" outlineLevel="0" collapsed="false">
      <c r="A26" s="15" t="s">
        <v>406</v>
      </c>
      <c r="B26" s="16" t="n">
        <f aca="false">COUNTIF(G2:G16,"1")</f>
        <v>9</v>
      </c>
    </row>
    <row r="27" customFormat="false" ht="15" hidden="false" customHeight="false" outlineLevel="0" collapsed="false">
      <c r="A27" s="12" t="s">
        <v>407</v>
      </c>
      <c r="B27" s="17" t="n">
        <f aca="false">(B21*B24+B22*B25+B23*B26)/(B18*B18)</f>
        <v>0.386666666666667</v>
      </c>
    </row>
    <row r="28" customFormat="false" ht="15" hidden="false" customHeight="false" outlineLevel="0" collapsed="false">
      <c r="A28" s="12" t="s">
        <v>408</v>
      </c>
      <c r="B28" s="17" t="n">
        <f aca="false">(B20-B27)/(1-B27)</f>
        <v>0.456521739130435</v>
      </c>
      <c r="C28" s="18" t="s">
        <v>409</v>
      </c>
    </row>
    <row r="30" customFormat="false" ht="27.75" hidden="false" customHeight="true" outlineLevel="0" collapsed="false">
      <c r="A30" s="19" t="s">
        <v>410</v>
      </c>
      <c r="B30" s="19"/>
      <c r="C30" s="19"/>
      <c r="D30" s="19"/>
      <c r="E30" s="19"/>
      <c r="F30" s="19"/>
      <c r="G30" s="19"/>
      <c r="H30" s="19"/>
    </row>
    <row r="31" customFormat="false" ht="27.75" hidden="false" customHeight="true" outlineLevel="0" collapsed="false">
      <c r="A31" s="19" t="s">
        <v>411</v>
      </c>
      <c r="B31" s="19"/>
      <c r="C31" s="19"/>
      <c r="D31" s="19"/>
      <c r="E31" s="19"/>
      <c r="F31" s="19"/>
      <c r="G31" s="19"/>
      <c r="H31" s="19"/>
    </row>
    <row r="32" customFormat="false" ht="27.75" hidden="false" customHeight="true" outlineLevel="0" collapsed="false">
      <c r="A32" s="19" t="s">
        <v>412</v>
      </c>
      <c r="B32" s="19"/>
      <c r="C32" s="19"/>
      <c r="D32" s="19"/>
      <c r="E32" s="19"/>
      <c r="F32" s="19"/>
      <c r="G32" s="19"/>
      <c r="H32" s="19"/>
    </row>
    <row r="33" customFormat="false" ht="27.75" hidden="false" customHeight="true" outlineLevel="0" collapsed="false">
      <c r="A33" s="19" t="s">
        <v>413</v>
      </c>
      <c r="B33" s="19"/>
      <c r="C33" s="19"/>
      <c r="D33" s="19"/>
      <c r="E33" s="19"/>
      <c r="F33" s="19"/>
      <c r="G33" s="19"/>
      <c r="H33" s="19"/>
    </row>
    <row r="34" customFormat="false" ht="27.75" hidden="false" customHeight="true" outlineLevel="0" collapsed="false">
      <c r="A34" s="19" t="s">
        <v>414</v>
      </c>
      <c r="B34" s="19"/>
      <c r="C34" s="19"/>
      <c r="D34" s="19"/>
      <c r="E34" s="19"/>
      <c r="F34" s="19"/>
      <c r="G34" s="19"/>
      <c r="H34" s="19"/>
    </row>
    <row r="35" customFormat="false" ht="27.75" hidden="false" customHeight="true" outlineLevel="0" collapsed="false">
      <c r="A35" s="19" t="s">
        <v>415</v>
      </c>
      <c r="B35" s="19"/>
      <c r="C35" s="19"/>
      <c r="D35" s="19"/>
      <c r="E35" s="19"/>
      <c r="F35" s="19"/>
      <c r="G35" s="19"/>
      <c r="H35" s="19"/>
    </row>
    <row r="36" customFormat="false" ht="27.75" hidden="false" customHeight="true" outlineLevel="0" collapsed="false">
      <c r="A36" s="19" t="s">
        <v>416</v>
      </c>
      <c r="B36" s="19"/>
      <c r="C36" s="19"/>
      <c r="D36" s="19"/>
      <c r="E36" s="19"/>
      <c r="F36" s="19"/>
      <c r="G36" s="19"/>
      <c r="H36" s="19"/>
    </row>
    <row r="37" customFormat="false" ht="27.75" hidden="false" customHeight="true" outlineLevel="0" collapsed="false">
      <c r="A37" s="19" t="s">
        <v>417</v>
      </c>
      <c r="B37" s="19"/>
      <c r="C37" s="19"/>
      <c r="D37" s="19"/>
      <c r="E37" s="19"/>
      <c r="F37" s="19"/>
      <c r="G37" s="19"/>
      <c r="H37" s="19"/>
    </row>
    <row r="38" customFormat="false" ht="27.75" hidden="false" customHeight="true" outlineLevel="0" collapsed="false">
      <c r="A38" s="19" t="s">
        <v>418</v>
      </c>
      <c r="B38" s="19"/>
      <c r="C38" s="19"/>
      <c r="D38" s="19"/>
      <c r="E38" s="19"/>
      <c r="F38" s="19"/>
      <c r="G38" s="19"/>
      <c r="H38" s="19"/>
    </row>
  </sheetData>
  <mergeCells count="9">
    <mergeCell ref="A30:H30"/>
    <mergeCell ref="A31:H31"/>
    <mergeCell ref="A32:H32"/>
    <mergeCell ref="A33:H33"/>
    <mergeCell ref="A34:H34"/>
    <mergeCell ref="A35:H35"/>
    <mergeCell ref="A36:H36"/>
    <mergeCell ref="A37:H37"/>
    <mergeCell ref="A38:H38"/>
  </mergeCells>
  <conditionalFormatting sqref="H2:H16">
    <cfRule type="cellIs" priority="2" operator="equal" aboveAverage="0" equalAverage="0" bottom="0" percent="0" rank="0" text="" dxfId="6">
      <formula>1</formula>
    </cfRule>
    <cfRule type="cellIs" priority="3" operator="equal"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10"/>
    <col collapsed="false" customWidth="true" hidden="false" outlineLevel="0" max="4" min="4" style="0" width="13"/>
    <col collapsed="false" customWidth="true" hidden="false" outlineLevel="0" max="5" min="5" style="0" width="60"/>
    <col collapsed="false" customWidth="true" hidden="false" outlineLevel="0" max="7" min="6" style="0" width="13"/>
    <col collapsed="false" customWidth="true" hidden="false" outlineLevel="0" max="8" min="8" style="0" width="88"/>
  </cols>
  <sheetData>
    <row r="1" customFormat="false" ht="42" hidden="false" customHeight="true" outlineLevel="0" collapsed="false">
      <c r="A1" s="5" t="s">
        <v>28</v>
      </c>
      <c r="B1" s="5" t="s">
        <v>30</v>
      </c>
      <c r="C1" s="5" t="s">
        <v>225</v>
      </c>
      <c r="D1" s="5" t="s">
        <v>419</v>
      </c>
      <c r="E1" s="5" t="s">
        <v>420</v>
      </c>
      <c r="F1" s="5" t="s">
        <v>421</v>
      </c>
      <c r="G1" s="5" t="s">
        <v>422</v>
      </c>
      <c r="H1" s="5" t="s">
        <v>423</v>
      </c>
    </row>
    <row r="2" customFormat="false" ht="23.85" hidden="false" customHeight="false" outlineLevel="0" collapsed="false">
      <c r="A2" s="6" t="n">
        <v>7</v>
      </c>
      <c r="B2" s="7" t="s">
        <v>49</v>
      </c>
      <c r="C2" s="6" t="s">
        <v>182</v>
      </c>
      <c r="D2" s="6" t="s">
        <v>57</v>
      </c>
      <c r="E2" s="8" t="s">
        <v>424</v>
      </c>
      <c r="F2" s="6" t="s">
        <v>425</v>
      </c>
      <c r="G2" s="6" t="s">
        <v>57</v>
      </c>
      <c r="H2" s="8" t="s">
        <v>426</v>
      </c>
    </row>
    <row r="3" customFormat="false" ht="23.85" hidden="false" customHeight="false" outlineLevel="0" collapsed="false">
      <c r="A3" s="6" t="n">
        <v>7</v>
      </c>
      <c r="B3" s="7" t="s">
        <v>49</v>
      </c>
      <c r="C3" s="6" t="s">
        <v>183</v>
      </c>
      <c r="D3" s="6" t="s">
        <v>57</v>
      </c>
      <c r="E3" s="8" t="s">
        <v>427</v>
      </c>
      <c r="F3" s="6" t="s">
        <v>425</v>
      </c>
      <c r="G3" s="6" t="s">
        <v>57</v>
      </c>
      <c r="H3" s="8" t="s">
        <v>428</v>
      </c>
    </row>
    <row r="4" customFormat="false" ht="23.85" hidden="false" customHeight="false" outlineLevel="0" collapsed="false">
      <c r="A4" s="6" t="n">
        <v>7</v>
      </c>
      <c r="B4" s="7" t="s">
        <v>49</v>
      </c>
      <c r="C4" s="6" t="s">
        <v>184</v>
      </c>
      <c r="D4" s="6" t="s">
        <v>57</v>
      </c>
      <c r="E4" s="8" t="s">
        <v>429</v>
      </c>
      <c r="F4" s="6" t="s">
        <v>425</v>
      </c>
      <c r="G4" s="6" t="s">
        <v>57</v>
      </c>
      <c r="H4" s="8" t="s">
        <v>430</v>
      </c>
    </row>
    <row r="5" customFormat="false" ht="23.85" hidden="false" customHeight="false" outlineLevel="0" collapsed="false">
      <c r="A5" s="6" t="n">
        <v>14</v>
      </c>
      <c r="B5" s="7" t="s">
        <v>60</v>
      </c>
      <c r="C5" s="6" t="s">
        <v>182</v>
      </c>
      <c r="D5" s="6" t="s">
        <v>56</v>
      </c>
      <c r="E5" s="8" t="s">
        <v>431</v>
      </c>
      <c r="F5" s="6" t="s">
        <v>425</v>
      </c>
      <c r="G5" s="6" t="s">
        <v>56</v>
      </c>
      <c r="H5" s="8" t="s">
        <v>432</v>
      </c>
    </row>
    <row r="6" customFormat="false" ht="23.85" hidden="false" customHeight="false" outlineLevel="0" collapsed="false">
      <c r="A6" s="6" t="n">
        <v>14</v>
      </c>
      <c r="B6" s="7" t="s">
        <v>60</v>
      </c>
      <c r="C6" s="6" t="s">
        <v>183</v>
      </c>
      <c r="D6" s="6" t="s">
        <v>57</v>
      </c>
      <c r="E6" s="8" t="s">
        <v>433</v>
      </c>
      <c r="F6" s="6" t="s">
        <v>425</v>
      </c>
      <c r="G6" s="6" t="s">
        <v>57</v>
      </c>
      <c r="H6" s="8" t="s">
        <v>434</v>
      </c>
    </row>
    <row r="7" customFormat="false" ht="15" hidden="false" customHeight="false" outlineLevel="0" collapsed="false">
      <c r="A7" s="6" t="n">
        <v>14</v>
      </c>
      <c r="B7" s="7" t="s">
        <v>60</v>
      </c>
      <c r="C7" s="6" t="s">
        <v>184</v>
      </c>
      <c r="D7" s="6" t="s">
        <v>57</v>
      </c>
      <c r="E7" s="8" t="s">
        <v>435</v>
      </c>
      <c r="F7" s="6" t="s">
        <v>425</v>
      </c>
      <c r="G7" s="6" t="s">
        <v>57</v>
      </c>
      <c r="H7" s="8" t="s">
        <v>436</v>
      </c>
    </row>
    <row r="8" customFormat="false" ht="23.85" hidden="false" customHeight="false" outlineLevel="0" collapsed="false">
      <c r="A8" s="6" t="n">
        <v>83</v>
      </c>
      <c r="B8" s="7" t="s">
        <v>152</v>
      </c>
      <c r="C8" s="6" t="s">
        <v>182</v>
      </c>
      <c r="D8" s="6" t="s">
        <v>56</v>
      </c>
      <c r="E8" s="8" t="s">
        <v>437</v>
      </c>
      <c r="F8" s="6" t="s">
        <v>425</v>
      </c>
      <c r="G8" s="6" t="s">
        <v>56</v>
      </c>
      <c r="H8" s="8" t="s">
        <v>438</v>
      </c>
    </row>
    <row r="9" customFormat="false" ht="23.85" hidden="false" customHeight="false" outlineLevel="0" collapsed="false">
      <c r="A9" s="6" t="n">
        <v>83</v>
      </c>
      <c r="B9" s="7" t="s">
        <v>152</v>
      </c>
      <c r="C9" s="6" t="s">
        <v>183</v>
      </c>
      <c r="D9" s="6" t="s">
        <v>63</v>
      </c>
      <c r="E9" s="8" t="s">
        <v>439</v>
      </c>
      <c r="F9" s="6" t="s">
        <v>425</v>
      </c>
      <c r="G9" s="6" t="s">
        <v>63</v>
      </c>
      <c r="H9" s="8" t="s">
        <v>434</v>
      </c>
    </row>
    <row r="10" customFormat="false" ht="15" hidden="false" customHeight="false" outlineLevel="0" collapsed="false">
      <c r="A10" s="6" t="n">
        <v>83</v>
      </c>
      <c r="B10" s="7" t="s">
        <v>152</v>
      </c>
      <c r="C10" s="6" t="s">
        <v>184</v>
      </c>
      <c r="D10" s="6" t="s">
        <v>56</v>
      </c>
      <c r="E10" s="8" t="s">
        <v>440</v>
      </c>
      <c r="F10" s="6" t="s">
        <v>425</v>
      </c>
      <c r="G10" s="6" t="s">
        <v>56</v>
      </c>
      <c r="H10" s="8" t="s">
        <v>436</v>
      </c>
    </row>
    <row r="11" customFormat="false" ht="23.85" hidden="false" customHeight="false" outlineLevel="0" collapsed="false">
      <c r="A11" s="6" t="n">
        <v>95</v>
      </c>
      <c r="B11" s="7" t="s">
        <v>89</v>
      </c>
      <c r="C11" s="6" t="s">
        <v>182</v>
      </c>
      <c r="D11" s="6" t="s">
        <v>56</v>
      </c>
      <c r="E11" s="8" t="s">
        <v>441</v>
      </c>
      <c r="F11" s="6" t="s">
        <v>425</v>
      </c>
      <c r="G11" s="6" t="s">
        <v>56</v>
      </c>
      <c r="H11" s="8" t="s">
        <v>442</v>
      </c>
    </row>
    <row r="12" customFormat="false" ht="15" hidden="false" customHeight="false" outlineLevel="0" collapsed="false">
      <c r="A12" s="6" t="n">
        <v>95</v>
      </c>
      <c r="B12" s="7" t="s">
        <v>89</v>
      </c>
      <c r="C12" s="6" t="s">
        <v>183</v>
      </c>
      <c r="D12" s="6" t="s">
        <v>57</v>
      </c>
      <c r="E12" s="8" t="s">
        <v>443</v>
      </c>
      <c r="F12" s="6" t="s">
        <v>425</v>
      </c>
      <c r="G12" s="6" t="s">
        <v>57</v>
      </c>
      <c r="H12" s="8" t="s">
        <v>434</v>
      </c>
    </row>
    <row r="13" customFormat="false" ht="23.85" hidden="false" customHeight="false" outlineLevel="0" collapsed="false">
      <c r="A13" s="6" t="n">
        <v>95</v>
      </c>
      <c r="B13" s="7" t="s">
        <v>89</v>
      </c>
      <c r="C13" s="6" t="s">
        <v>184</v>
      </c>
      <c r="D13" s="6" t="s">
        <v>57</v>
      </c>
      <c r="E13" s="8" t="s">
        <v>444</v>
      </c>
      <c r="F13" s="6" t="s">
        <v>425</v>
      </c>
      <c r="G13" s="6" t="s">
        <v>57</v>
      </c>
      <c r="H13" s="8" t="s">
        <v>436</v>
      </c>
    </row>
    <row r="14" customFormat="false" ht="23.85" hidden="false" customHeight="false" outlineLevel="0" collapsed="false">
      <c r="A14" s="6" t="n">
        <v>96</v>
      </c>
      <c r="B14" s="7" t="s">
        <v>99</v>
      </c>
      <c r="C14" s="6" t="s">
        <v>182</v>
      </c>
      <c r="D14" s="6" t="s">
        <v>56</v>
      </c>
      <c r="E14" s="8" t="s">
        <v>445</v>
      </c>
      <c r="F14" s="6" t="s">
        <v>446</v>
      </c>
      <c r="G14" s="6" t="s">
        <v>56</v>
      </c>
      <c r="H14" s="8" t="s">
        <v>447</v>
      </c>
    </row>
    <row r="15" customFormat="false" ht="15" hidden="false" customHeight="false" outlineLevel="0" collapsed="false">
      <c r="A15" s="6" t="n">
        <v>96</v>
      </c>
      <c r="B15" s="7" t="s">
        <v>99</v>
      </c>
      <c r="C15" s="6" t="s">
        <v>183</v>
      </c>
      <c r="D15" s="6" t="s">
        <v>57</v>
      </c>
      <c r="E15" s="8" t="s">
        <v>448</v>
      </c>
      <c r="F15" s="6" t="s">
        <v>425</v>
      </c>
      <c r="G15" s="6" t="s">
        <v>57</v>
      </c>
      <c r="H15" s="8" t="s">
        <v>434</v>
      </c>
    </row>
    <row r="16" customFormat="false" ht="35.05" hidden="false" customHeight="false" outlineLevel="0" collapsed="false">
      <c r="A16" s="6" t="n">
        <v>96</v>
      </c>
      <c r="B16" s="7" t="s">
        <v>99</v>
      </c>
      <c r="C16" s="6" t="s">
        <v>184</v>
      </c>
      <c r="D16" s="6" t="s">
        <v>57</v>
      </c>
      <c r="E16" s="8" t="s">
        <v>449</v>
      </c>
      <c r="F16" s="6" t="s">
        <v>450</v>
      </c>
      <c r="G16" s="6" t="s">
        <v>56</v>
      </c>
      <c r="H16" s="8" t="s">
        <v>451</v>
      </c>
    </row>
    <row r="18" customFormat="false" ht="15" hidden="false" customHeight="false" outlineLevel="0" collapsed="false">
      <c r="A18" s="20" t="s">
        <v>452</v>
      </c>
    </row>
    <row r="19" customFormat="false" ht="25.5" hidden="false" customHeight="true" outlineLevel="0" collapsed="false">
      <c r="A19" s="19" t="s">
        <v>453</v>
      </c>
      <c r="B19" s="19"/>
      <c r="C19" s="19"/>
      <c r="D19" s="19"/>
      <c r="E19" s="19"/>
      <c r="F19" s="19"/>
      <c r="G19" s="19"/>
      <c r="H19" s="19"/>
    </row>
    <row r="20" customFormat="false" ht="25.5" hidden="false" customHeight="true" outlineLevel="0" collapsed="false">
      <c r="A20" s="19" t="s">
        <v>454</v>
      </c>
      <c r="B20" s="19"/>
      <c r="C20" s="19"/>
      <c r="D20" s="19"/>
      <c r="E20" s="19"/>
      <c r="F20" s="19"/>
      <c r="G20" s="19"/>
      <c r="H20" s="19"/>
    </row>
    <row r="21" customFormat="false" ht="25.5" hidden="false" customHeight="true" outlineLevel="0" collapsed="false">
      <c r="A21" s="19" t="s">
        <v>455</v>
      </c>
      <c r="B21" s="19"/>
      <c r="C21" s="19"/>
      <c r="D21" s="19"/>
      <c r="E21" s="19"/>
      <c r="F21" s="19"/>
      <c r="G21" s="19"/>
      <c r="H21" s="19"/>
    </row>
    <row r="22" customFormat="false" ht="25.5" hidden="false" customHeight="true" outlineLevel="0" collapsed="false">
      <c r="A22" s="19" t="s">
        <v>456</v>
      </c>
      <c r="B22" s="19"/>
      <c r="C22" s="19"/>
      <c r="D22" s="19"/>
      <c r="E22" s="19"/>
      <c r="F22" s="19"/>
      <c r="G22" s="19"/>
      <c r="H22" s="19"/>
    </row>
    <row r="23" customFormat="false" ht="25.5" hidden="false" customHeight="true" outlineLevel="0" collapsed="false">
      <c r="A23" s="19" t="s">
        <v>457</v>
      </c>
      <c r="B23" s="19"/>
      <c r="C23" s="19"/>
      <c r="D23" s="19"/>
      <c r="E23" s="19"/>
      <c r="F23" s="19"/>
      <c r="G23" s="19"/>
      <c r="H23" s="19"/>
    </row>
    <row r="25" customFormat="false" ht="15" hidden="false" customHeight="false" outlineLevel="0" collapsed="false">
      <c r="A25" s="20" t="s">
        <v>458</v>
      </c>
    </row>
    <row r="26" customFormat="false" ht="23.85" hidden="false" customHeight="false" outlineLevel="0" collapsed="false">
      <c r="A26" s="5" t="s">
        <v>459</v>
      </c>
      <c r="B26" s="5" t="s">
        <v>460</v>
      </c>
      <c r="C26" s="5" t="s">
        <v>461</v>
      </c>
      <c r="D26" s="5" t="s">
        <v>462</v>
      </c>
      <c r="E26" s="5" t="s">
        <v>463</v>
      </c>
      <c r="F26" s="5" t="s">
        <v>464</v>
      </c>
      <c r="G26" s="5" t="s">
        <v>465</v>
      </c>
      <c r="H26" s="5" t="s">
        <v>466</v>
      </c>
    </row>
    <row r="27" customFormat="false" ht="57.45" hidden="false" customHeight="false" outlineLevel="0" collapsed="false">
      <c r="A27" s="8" t="s">
        <v>467</v>
      </c>
      <c r="B27" s="9" t="n">
        <v>15</v>
      </c>
      <c r="C27" s="9" t="n">
        <v>10</v>
      </c>
      <c r="D27" s="21" t="n">
        <v>0.6667</v>
      </c>
      <c r="E27" s="21" t="n">
        <v>0.3867</v>
      </c>
      <c r="F27" s="21" t="n">
        <v>0.4565</v>
      </c>
      <c r="G27" s="21" t="n">
        <v>0.4595</v>
      </c>
      <c r="H27" s="8" t="s">
        <v>468</v>
      </c>
    </row>
    <row r="28" customFormat="false" ht="57.45" hidden="false" customHeight="false" outlineLevel="0" collapsed="false">
      <c r="A28" s="8" t="s">
        <v>469</v>
      </c>
      <c r="B28" s="9" t="n">
        <v>14</v>
      </c>
      <c r="C28" s="9" t="n">
        <v>10</v>
      </c>
      <c r="D28" s="21" t="n">
        <v>0.7143</v>
      </c>
      <c r="E28" s="21" t="n">
        <v>0.4082</v>
      </c>
      <c r="F28" s="21" t="n">
        <v>0.5172</v>
      </c>
      <c r="G28" s="21" t="n">
        <v>0.4948</v>
      </c>
      <c r="H28" s="8" t="s">
        <v>470</v>
      </c>
    </row>
    <row r="29" customFormat="false" ht="46.25" hidden="false" customHeight="false" outlineLevel="0" collapsed="false">
      <c r="A29" s="8" t="s">
        <v>471</v>
      </c>
      <c r="B29" s="9" t="n">
        <v>15</v>
      </c>
      <c r="C29" s="9" t="n">
        <v>10</v>
      </c>
      <c r="D29" s="21" t="n">
        <v>0.6667</v>
      </c>
      <c r="E29" s="21" t="n">
        <v>0.3867</v>
      </c>
      <c r="F29" s="21" t="n">
        <v>0.4565</v>
      </c>
      <c r="G29" s="21" t="n">
        <v>0.4595</v>
      </c>
      <c r="H29" s="8" t="s">
        <v>472</v>
      </c>
    </row>
    <row r="30" customFormat="false" ht="91" hidden="false" customHeight="false" outlineLevel="0" collapsed="false">
      <c r="A30" s="8" t="s">
        <v>473</v>
      </c>
      <c r="B30" s="9" t="n">
        <v>15</v>
      </c>
      <c r="C30" s="9" t="n">
        <v>7</v>
      </c>
      <c r="D30" s="21" t="n">
        <v>0.4667</v>
      </c>
      <c r="E30" s="21" t="n">
        <v>0.4</v>
      </c>
      <c r="F30" s="21" t="n">
        <v>0.1111</v>
      </c>
      <c r="G30" s="21" t="n">
        <v>0.1333</v>
      </c>
      <c r="H30" s="8" t="s">
        <v>474</v>
      </c>
    </row>
    <row r="33" customFormat="false" ht="25.5" hidden="false" customHeight="true" outlineLevel="0" collapsed="false">
      <c r="A33" s="19" t="s">
        <v>475</v>
      </c>
      <c r="B33" s="19"/>
      <c r="C33" s="19"/>
      <c r="D33" s="19"/>
      <c r="E33" s="19"/>
      <c r="F33" s="19"/>
      <c r="G33" s="19"/>
      <c r="H33" s="19"/>
    </row>
    <row r="34" customFormat="false" ht="25.5" hidden="false" customHeight="true" outlineLevel="0" collapsed="false">
      <c r="A34" s="19" t="s">
        <v>476</v>
      </c>
      <c r="B34" s="19"/>
      <c r="C34" s="19"/>
      <c r="D34" s="19"/>
      <c r="E34" s="19"/>
      <c r="F34" s="19"/>
      <c r="G34" s="19"/>
      <c r="H34" s="19"/>
    </row>
    <row r="35" customFormat="false" ht="25.5" hidden="false" customHeight="true" outlineLevel="0" collapsed="false">
      <c r="A35" s="19" t="s">
        <v>477</v>
      </c>
      <c r="B35" s="19"/>
      <c r="C35" s="19"/>
      <c r="D35" s="19"/>
      <c r="E35" s="19"/>
      <c r="F35" s="19"/>
      <c r="G35" s="19"/>
      <c r="H35" s="19"/>
    </row>
  </sheetData>
  <mergeCells count="8">
    <mergeCell ref="A19:H19"/>
    <mergeCell ref="A20:H20"/>
    <mergeCell ref="A21:H21"/>
    <mergeCell ref="A22:H22"/>
    <mergeCell ref="A23:H23"/>
    <mergeCell ref="A33:H33"/>
    <mergeCell ref="A34:H34"/>
    <mergeCell ref="A35:H35"/>
  </mergeCells>
  <conditionalFormatting sqref="F2:F16">
    <cfRule type="cellIs" priority="2" operator="equal" aboveAverage="0" equalAverage="0" bottom="0" percent="0" rank="0" text="" dxfId="7">
      <formula>"CORRIGE"</formula>
    </cfRule>
    <cfRule type="cellIs" priority="3" operator="equal" aboveAverage="0" equalAverage="0" bottom="0" percent="0" rank="0" text="" dxfId="6">
      <formula>"CONFIRMA"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2026-09-01T12:58:25Z</dcterms:created>
  <dc:creator>openpyxl</dc:creator>
  <dc:description/>
  <dc:language>en-US</dc:language>
  <cp:lastModifiedBy/>
  <dcterms:modified xsi:type="dcterms:W3CDTF">2026-09-01T12:58:25Z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